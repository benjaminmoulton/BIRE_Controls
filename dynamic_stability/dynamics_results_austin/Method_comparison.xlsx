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ya\Desktop\Aerolab\git_repos\BIRE\dynamic_stability\dynamics_results_austin\"/>
    </mc:Choice>
  </mc:AlternateContent>
  <xr:revisionPtr revIDLastSave="0" documentId="13_ncr:1_{107CA090-63C6-4FDD-9D34-F31ACDF125FF}" xr6:coauthVersionLast="47" xr6:coauthVersionMax="47" xr10:uidLastSave="{00000000-0000-0000-0000-000000000000}"/>
  <bookViews>
    <workbookView xWindow="-24465" yWindow="1065" windowWidth="21600" windowHeight="11295" activeTab="2" xr2:uid="{E77708BF-0A2A-4ABD-A775-B4E6AAA87486}"/>
  </bookViews>
  <sheets>
    <sheet name="Trim - 0 deg bank" sheetId="10" r:id="rId1"/>
    <sheet name="Trim - 60 deg bank" sheetId="9" r:id="rId2"/>
    <sheet name="Derivatives - 0 deg bank" sheetId="11" r:id="rId3"/>
    <sheet name="Derivatives - 60 deg bank" sheetId="8" r:id="rId4"/>
    <sheet name="F-16" sheetId="6" r:id="rId5"/>
    <sheet name="BIRE" sheetId="1" r:id="rId6"/>
    <sheet name="9.8.1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V89" i="8"/>
  <c r="W89" i="8"/>
  <c r="X89" i="8"/>
  <c r="Y89" i="8"/>
  <c r="Z89" i="8"/>
  <c r="AA89" i="8"/>
  <c r="AB89" i="8"/>
  <c r="AC89" i="8"/>
  <c r="AD89" i="8"/>
  <c r="AE89" i="8"/>
  <c r="AF89" i="8"/>
  <c r="AG89" i="8"/>
  <c r="V90" i="8"/>
  <c r="W90" i="8"/>
  <c r="X90" i="8"/>
  <c r="Y90" i="8"/>
  <c r="Z90" i="8"/>
  <c r="AA90" i="8"/>
  <c r="AB90" i="8"/>
  <c r="AC90" i="8"/>
  <c r="AD90" i="8"/>
  <c r="AE90" i="8"/>
  <c r="AF90" i="8"/>
  <c r="AG90" i="8"/>
  <c r="V91" i="8"/>
  <c r="W91" i="8"/>
  <c r="X91" i="8"/>
  <c r="Y91" i="8"/>
  <c r="Z91" i="8"/>
  <c r="AA91" i="8"/>
  <c r="AB91" i="8"/>
  <c r="AC91" i="8"/>
  <c r="AD91" i="8"/>
  <c r="AE91" i="8"/>
  <c r="AF91" i="8"/>
  <c r="AG91" i="8"/>
  <c r="V92" i="8"/>
  <c r="W92" i="8"/>
  <c r="X92" i="8"/>
  <c r="Y92" i="8"/>
  <c r="Z92" i="8"/>
  <c r="AA92" i="8"/>
  <c r="AB92" i="8"/>
  <c r="AC92" i="8"/>
  <c r="AD92" i="8"/>
  <c r="AE92" i="8"/>
  <c r="AF92" i="8"/>
  <c r="AG92" i="8"/>
  <c r="V93" i="8"/>
  <c r="W93" i="8"/>
  <c r="X93" i="8"/>
  <c r="Y93" i="8"/>
  <c r="Z93" i="8"/>
  <c r="AA93" i="8"/>
  <c r="AB93" i="8"/>
  <c r="AC93" i="8"/>
  <c r="AD93" i="8"/>
  <c r="AE93" i="8"/>
  <c r="AF93" i="8"/>
  <c r="AG93" i="8"/>
  <c r="V94" i="8"/>
  <c r="W94" i="8"/>
  <c r="X94" i="8"/>
  <c r="Y94" i="8"/>
  <c r="Z94" i="8"/>
  <c r="AA94" i="8"/>
  <c r="AB94" i="8"/>
  <c r="AC94" i="8"/>
  <c r="AD94" i="8"/>
  <c r="AE94" i="8"/>
  <c r="AF94" i="8"/>
  <c r="AG94" i="8"/>
  <c r="V95" i="8"/>
  <c r="W95" i="8"/>
  <c r="X95" i="8"/>
  <c r="Y95" i="8"/>
  <c r="Z95" i="8"/>
  <c r="AA95" i="8"/>
  <c r="AB95" i="8"/>
  <c r="AC95" i="8"/>
  <c r="AD95" i="8"/>
  <c r="AE95" i="8"/>
  <c r="AF95" i="8"/>
  <c r="AG95" i="8"/>
  <c r="V96" i="8"/>
  <c r="W96" i="8"/>
  <c r="X96" i="8"/>
  <c r="Y96" i="8"/>
  <c r="Z96" i="8"/>
  <c r="AA96" i="8"/>
  <c r="AB96" i="8"/>
  <c r="AC96" i="8"/>
  <c r="AD96" i="8"/>
  <c r="AE96" i="8"/>
  <c r="AF96" i="8"/>
  <c r="AG96" i="8"/>
  <c r="V97" i="8"/>
  <c r="W97" i="8"/>
  <c r="X97" i="8"/>
  <c r="Y97" i="8"/>
  <c r="Z97" i="8"/>
  <c r="AA97" i="8"/>
  <c r="AB97" i="8"/>
  <c r="AC97" i="8"/>
  <c r="AD97" i="8"/>
  <c r="AE97" i="8"/>
  <c r="AF97" i="8"/>
  <c r="AG97" i="8"/>
  <c r="V98" i="8"/>
  <c r="W98" i="8"/>
  <c r="X98" i="8"/>
  <c r="Y98" i="8"/>
  <c r="Z98" i="8"/>
  <c r="AA98" i="8"/>
  <c r="AB98" i="8"/>
  <c r="AC98" i="8"/>
  <c r="AD98" i="8"/>
  <c r="AE98" i="8"/>
  <c r="AF98" i="8"/>
  <c r="AG98" i="8"/>
  <c r="V99" i="8"/>
  <c r="W99" i="8"/>
  <c r="X99" i="8"/>
  <c r="Y99" i="8"/>
  <c r="Z99" i="8"/>
  <c r="AA99" i="8"/>
  <c r="AB99" i="8"/>
  <c r="AC99" i="8"/>
  <c r="AD99" i="8"/>
  <c r="AE99" i="8"/>
  <c r="AF99" i="8"/>
  <c r="AG99" i="8"/>
  <c r="W88" i="8"/>
  <c r="X88" i="8"/>
  <c r="Y88" i="8"/>
  <c r="Z88" i="8"/>
  <c r="AA88" i="8"/>
  <c r="AB88" i="8"/>
  <c r="AC88" i="8"/>
  <c r="AD88" i="8"/>
  <c r="AE88" i="8"/>
  <c r="AF88" i="8"/>
  <c r="AG88" i="8"/>
  <c r="V88" i="8"/>
  <c r="J88" i="8"/>
  <c r="K88" i="8"/>
  <c r="L88" i="8"/>
  <c r="M88" i="8"/>
  <c r="N88" i="8"/>
  <c r="O88" i="8"/>
  <c r="P88" i="8"/>
  <c r="Q88" i="8"/>
  <c r="R88" i="8"/>
  <c r="S88" i="8"/>
  <c r="T88" i="8"/>
  <c r="J89" i="8"/>
  <c r="K89" i="8"/>
  <c r="L89" i="8"/>
  <c r="M89" i="8"/>
  <c r="N89" i="8"/>
  <c r="O89" i="8"/>
  <c r="P89" i="8"/>
  <c r="Q89" i="8"/>
  <c r="R89" i="8"/>
  <c r="S89" i="8"/>
  <c r="T89" i="8"/>
  <c r="J90" i="8"/>
  <c r="K90" i="8"/>
  <c r="L90" i="8"/>
  <c r="M90" i="8"/>
  <c r="N90" i="8"/>
  <c r="O90" i="8"/>
  <c r="P90" i="8"/>
  <c r="Q90" i="8"/>
  <c r="R90" i="8"/>
  <c r="S90" i="8"/>
  <c r="T90" i="8"/>
  <c r="J91" i="8"/>
  <c r="K91" i="8"/>
  <c r="L91" i="8"/>
  <c r="M91" i="8"/>
  <c r="N91" i="8"/>
  <c r="O91" i="8"/>
  <c r="P91" i="8"/>
  <c r="Q91" i="8"/>
  <c r="R91" i="8"/>
  <c r="S91" i="8"/>
  <c r="T91" i="8"/>
  <c r="J92" i="8"/>
  <c r="K92" i="8"/>
  <c r="L92" i="8"/>
  <c r="M92" i="8"/>
  <c r="N92" i="8"/>
  <c r="O92" i="8"/>
  <c r="P92" i="8"/>
  <c r="Q92" i="8"/>
  <c r="R92" i="8"/>
  <c r="S92" i="8"/>
  <c r="T92" i="8"/>
  <c r="J93" i="8"/>
  <c r="K93" i="8"/>
  <c r="L93" i="8"/>
  <c r="M93" i="8"/>
  <c r="N93" i="8"/>
  <c r="O93" i="8"/>
  <c r="P93" i="8"/>
  <c r="Q93" i="8"/>
  <c r="R93" i="8"/>
  <c r="S93" i="8"/>
  <c r="T93" i="8"/>
  <c r="J94" i="8"/>
  <c r="K94" i="8"/>
  <c r="L94" i="8"/>
  <c r="M94" i="8"/>
  <c r="N94" i="8"/>
  <c r="O94" i="8"/>
  <c r="P94" i="8"/>
  <c r="Q94" i="8"/>
  <c r="R94" i="8"/>
  <c r="S94" i="8"/>
  <c r="T94" i="8"/>
  <c r="J95" i="8"/>
  <c r="K95" i="8"/>
  <c r="L95" i="8"/>
  <c r="M95" i="8"/>
  <c r="N95" i="8"/>
  <c r="O95" i="8"/>
  <c r="P95" i="8"/>
  <c r="Q95" i="8"/>
  <c r="R95" i="8"/>
  <c r="S95" i="8"/>
  <c r="T95" i="8"/>
  <c r="J96" i="8"/>
  <c r="K96" i="8"/>
  <c r="L96" i="8"/>
  <c r="M96" i="8"/>
  <c r="N96" i="8"/>
  <c r="O96" i="8"/>
  <c r="P96" i="8"/>
  <c r="Q96" i="8"/>
  <c r="R96" i="8"/>
  <c r="S96" i="8"/>
  <c r="T96" i="8"/>
  <c r="J97" i="8"/>
  <c r="K97" i="8"/>
  <c r="L97" i="8"/>
  <c r="M97" i="8"/>
  <c r="N97" i="8"/>
  <c r="O97" i="8"/>
  <c r="P97" i="8"/>
  <c r="Q97" i="8"/>
  <c r="R97" i="8"/>
  <c r="S97" i="8"/>
  <c r="T97" i="8"/>
  <c r="J98" i="8"/>
  <c r="K98" i="8"/>
  <c r="L98" i="8"/>
  <c r="M98" i="8"/>
  <c r="N98" i="8"/>
  <c r="O98" i="8"/>
  <c r="P98" i="8"/>
  <c r="Q98" i="8"/>
  <c r="R98" i="8"/>
  <c r="S98" i="8"/>
  <c r="T98" i="8"/>
  <c r="J99" i="8"/>
  <c r="K99" i="8"/>
  <c r="L99" i="8"/>
  <c r="M99" i="8"/>
  <c r="N99" i="8"/>
  <c r="O99" i="8"/>
  <c r="P99" i="8"/>
  <c r="Q99" i="8"/>
  <c r="R99" i="8"/>
  <c r="S99" i="8"/>
  <c r="T99" i="8"/>
  <c r="I89" i="8"/>
  <c r="I90" i="8"/>
  <c r="I91" i="8"/>
  <c r="I92" i="8"/>
  <c r="I93" i="8"/>
  <c r="I94" i="8"/>
  <c r="I95" i="8"/>
  <c r="I96" i="8"/>
  <c r="I97" i="8"/>
  <c r="I98" i="8"/>
  <c r="I99" i="8"/>
  <c r="I88" i="8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J88" i="11"/>
  <c r="K88" i="11"/>
  <c r="L88" i="11"/>
  <c r="M88" i="11"/>
  <c r="N88" i="11"/>
  <c r="O88" i="11"/>
  <c r="P88" i="11"/>
  <c r="Q88" i="11"/>
  <c r="R88" i="11"/>
  <c r="S88" i="11"/>
  <c r="T88" i="11"/>
  <c r="J89" i="11"/>
  <c r="K89" i="11"/>
  <c r="L89" i="11"/>
  <c r="M89" i="11"/>
  <c r="N89" i="11"/>
  <c r="O89" i="11"/>
  <c r="P89" i="11"/>
  <c r="Q89" i="11"/>
  <c r="R89" i="11"/>
  <c r="S89" i="11"/>
  <c r="T89" i="11"/>
  <c r="J90" i="11"/>
  <c r="K90" i="11"/>
  <c r="L90" i="11"/>
  <c r="M90" i="11"/>
  <c r="N90" i="11"/>
  <c r="O90" i="11"/>
  <c r="P90" i="11"/>
  <c r="Q90" i="11"/>
  <c r="R90" i="11"/>
  <c r="S90" i="11"/>
  <c r="T90" i="11"/>
  <c r="J91" i="11"/>
  <c r="K91" i="11"/>
  <c r="L91" i="11"/>
  <c r="M91" i="11"/>
  <c r="N91" i="11"/>
  <c r="O91" i="11"/>
  <c r="P91" i="11"/>
  <c r="Q91" i="11"/>
  <c r="R91" i="11"/>
  <c r="S91" i="11"/>
  <c r="T91" i="11"/>
  <c r="J92" i="11"/>
  <c r="K92" i="11"/>
  <c r="L92" i="11"/>
  <c r="M92" i="11"/>
  <c r="N92" i="11"/>
  <c r="O92" i="11"/>
  <c r="P92" i="11"/>
  <c r="Q92" i="11"/>
  <c r="R92" i="11"/>
  <c r="S92" i="11"/>
  <c r="T92" i="11"/>
  <c r="J93" i="11"/>
  <c r="K93" i="11"/>
  <c r="L93" i="11"/>
  <c r="M93" i="11"/>
  <c r="N93" i="11"/>
  <c r="O93" i="11"/>
  <c r="P93" i="11"/>
  <c r="Q93" i="11"/>
  <c r="R93" i="11"/>
  <c r="S93" i="11"/>
  <c r="T93" i="11"/>
  <c r="J94" i="11"/>
  <c r="K94" i="11"/>
  <c r="L94" i="11"/>
  <c r="M94" i="11"/>
  <c r="N94" i="11"/>
  <c r="O94" i="11"/>
  <c r="P94" i="11"/>
  <c r="Q94" i="11"/>
  <c r="R94" i="11"/>
  <c r="S94" i="11"/>
  <c r="T94" i="11"/>
  <c r="J95" i="11"/>
  <c r="K95" i="11"/>
  <c r="L95" i="11"/>
  <c r="M95" i="11"/>
  <c r="N95" i="11"/>
  <c r="O95" i="11"/>
  <c r="P95" i="11"/>
  <c r="Q95" i="11"/>
  <c r="R95" i="11"/>
  <c r="S95" i="11"/>
  <c r="T95" i="11"/>
  <c r="J96" i="11"/>
  <c r="K96" i="11"/>
  <c r="L96" i="11"/>
  <c r="M96" i="11"/>
  <c r="N96" i="11"/>
  <c r="O96" i="11"/>
  <c r="P96" i="11"/>
  <c r="Q96" i="11"/>
  <c r="R96" i="11"/>
  <c r="S96" i="11"/>
  <c r="T96" i="11"/>
  <c r="J97" i="11"/>
  <c r="K97" i="11"/>
  <c r="L97" i="11"/>
  <c r="M97" i="11"/>
  <c r="N97" i="11"/>
  <c r="O97" i="11"/>
  <c r="P97" i="11"/>
  <c r="Q97" i="11"/>
  <c r="R97" i="11"/>
  <c r="S97" i="11"/>
  <c r="T97" i="11"/>
  <c r="J98" i="11"/>
  <c r="K98" i="11"/>
  <c r="L98" i="11"/>
  <c r="M98" i="11"/>
  <c r="N98" i="11"/>
  <c r="O98" i="11"/>
  <c r="P98" i="11"/>
  <c r="Q98" i="11"/>
  <c r="R98" i="11"/>
  <c r="S98" i="11"/>
  <c r="T98" i="11"/>
  <c r="J99" i="11"/>
  <c r="K99" i="11"/>
  <c r="L99" i="11"/>
  <c r="M99" i="11"/>
  <c r="N99" i="11"/>
  <c r="O99" i="11"/>
  <c r="P99" i="11"/>
  <c r="Q99" i="11"/>
  <c r="R99" i="11"/>
  <c r="S99" i="11"/>
  <c r="T99" i="11"/>
  <c r="I89" i="11"/>
  <c r="I90" i="11"/>
  <c r="I91" i="11"/>
  <c r="I92" i="11"/>
  <c r="I93" i="11"/>
  <c r="I94" i="11"/>
  <c r="I95" i="11"/>
  <c r="I96" i="11"/>
  <c r="I97" i="11"/>
  <c r="I98" i="11"/>
  <c r="I99" i="11"/>
  <c r="I88" i="11"/>
  <c r="V34" i="8"/>
  <c r="W34" i="8"/>
  <c r="X34" i="8"/>
  <c r="Y34" i="8"/>
  <c r="Z34" i="8"/>
  <c r="AA34" i="8"/>
  <c r="AB34" i="8"/>
  <c r="AC34" i="8"/>
  <c r="AD34" i="8"/>
  <c r="AE34" i="8"/>
  <c r="AF34" i="8"/>
  <c r="AG34" i="8"/>
  <c r="V35" i="8"/>
  <c r="W35" i="8"/>
  <c r="X35" i="8"/>
  <c r="Y35" i="8"/>
  <c r="Z35" i="8"/>
  <c r="AA35" i="8"/>
  <c r="AB35" i="8"/>
  <c r="AC35" i="8"/>
  <c r="AD35" i="8"/>
  <c r="AE35" i="8"/>
  <c r="AF35" i="8"/>
  <c r="AG35" i="8"/>
  <c r="V36" i="8"/>
  <c r="W36" i="8"/>
  <c r="X36" i="8"/>
  <c r="Y36" i="8"/>
  <c r="Z36" i="8"/>
  <c r="AA36" i="8"/>
  <c r="AB36" i="8"/>
  <c r="AC36" i="8"/>
  <c r="AD36" i="8"/>
  <c r="AE36" i="8"/>
  <c r="AF36" i="8"/>
  <c r="AG36" i="8"/>
  <c r="V37" i="8"/>
  <c r="W37" i="8"/>
  <c r="X37" i="8"/>
  <c r="Y37" i="8"/>
  <c r="Z37" i="8"/>
  <c r="AA37" i="8"/>
  <c r="AB37" i="8"/>
  <c r="AC37" i="8"/>
  <c r="AD37" i="8"/>
  <c r="AE37" i="8"/>
  <c r="AF37" i="8"/>
  <c r="AG37" i="8"/>
  <c r="V38" i="8"/>
  <c r="W38" i="8"/>
  <c r="X38" i="8"/>
  <c r="Y38" i="8"/>
  <c r="Z38" i="8"/>
  <c r="AA38" i="8"/>
  <c r="AB38" i="8"/>
  <c r="AC38" i="8"/>
  <c r="AD38" i="8"/>
  <c r="AE38" i="8"/>
  <c r="AF38" i="8"/>
  <c r="AG38" i="8"/>
  <c r="V39" i="8"/>
  <c r="W39" i="8"/>
  <c r="X39" i="8"/>
  <c r="Y39" i="8"/>
  <c r="Z39" i="8"/>
  <c r="AA39" i="8"/>
  <c r="AB39" i="8"/>
  <c r="AC39" i="8"/>
  <c r="AD39" i="8"/>
  <c r="AE39" i="8"/>
  <c r="AF39" i="8"/>
  <c r="AG39" i="8"/>
  <c r="V40" i="8"/>
  <c r="W40" i="8"/>
  <c r="X40" i="8"/>
  <c r="Y40" i="8"/>
  <c r="Z40" i="8"/>
  <c r="AA40" i="8"/>
  <c r="AB40" i="8"/>
  <c r="AC40" i="8"/>
  <c r="AD40" i="8"/>
  <c r="AE40" i="8"/>
  <c r="AF40" i="8"/>
  <c r="AG40" i="8"/>
  <c r="V41" i="8"/>
  <c r="W41" i="8"/>
  <c r="X41" i="8"/>
  <c r="Y41" i="8"/>
  <c r="Z41" i="8"/>
  <c r="AA41" i="8"/>
  <c r="AB41" i="8"/>
  <c r="AC41" i="8"/>
  <c r="AD41" i="8"/>
  <c r="AE41" i="8"/>
  <c r="AF41" i="8"/>
  <c r="AG41" i="8"/>
  <c r="V42" i="8"/>
  <c r="W42" i="8"/>
  <c r="X42" i="8"/>
  <c r="Y42" i="8"/>
  <c r="Z42" i="8"/>
  <c r="AA42" i="8"/>
  <c r="AB42" i="8"/>
  <c r="AC42" i="8"/>
  <c r="AD42" i="8"/>
  <c r="AE42" i="8"/>
  <c r="AF42" i="8"/>
  <c r="AG42" i="8"/>
  <c r="V43" i="8"/>
  <c r="W43" i="8"/>
  <c r="X43" i="8"/>
  <c r="Y43" i="8"/>
  <c r="Z43" i="8"/>
  <c r="AA43" i="8"/>
  <c r="AB43" i="8"/>
  <c r="AC43" i="8"/>
  <c r="AD43" i="8"/>
  <c r="AE43" i="8"/>
  <c r="AF43" i="8"/>
  <c r="AG43" i="8"/>
  <c r="V44" i="8"/>
  <c r="W44" i="8"/>
  <c r="X44" i="8"/>
  <c r="Y44" i="8"/>
  <c r="Z44" i="8"/>
  <c r="AA44" i="8"/>
  <c r="AB44" i="8"/>
  <c r="AC44" i="8"/>
  <c r="AD44" i="8"/>
  <c r="AE44" i="8"/>
  <c r="AF44" i="8"/>
  <c r="AG44" i="8"/>
  <c r="W33" i="8"/>
  <c r="X33" i="8"/>
  <c r="Y33" i="8"/>
  <c r="Z33" i="8"/>
  <c r="AA33" i="8"/>
  <c r="AB33" i="8"/>
  <c r="AC33" i="8"/>
  <c r="AD33" i="8"/>
  <c r="AE33" i="8"/>
  <c r="AF33" i="8"/>
  <c r="AG33" i="8"/>
  <c r="V33" i="8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W33" i="11"/>
  <c r="X33" i="11"/>
  <c r="Y33" i="11"/>
  <c r="Z33" i="11"/>
  <c r="AA33" i="11"/>
  <c r="AB33" i="11"/>
  <c r="AC33" i="11"/>
  <c r="AD33" i="11"/>
  <c r="AE33" i="11"/>
  <c r="AF33" i="11"/>
  <c r="AG33" i="11"/>
  <c r="V33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J33" i="11"/>
  <c r="K33" i="11"/>
  <c r="L33" i="11"/>
  <c r="M33" i="11"/>
  <c r="N33" i="11"/>
  <c r="O33" i="11"/>
  <c r="P33" i="11"/>
  <c r="Q33" i="11"/>
  <c r="R33" i="11"/>
  <c r="S33" i="11"/>
  <c r="T33" i="11"/>
  <c r="I33" i="11"/>
  <c r="I34" i="8"/>
  <c r="J34" i="8"/>
  <c r="K34" i="8"/>
  <c r="L34" i="8"/>
  <c r="M34" i="8"/>
  <c r="N34" i="8"/>
  <c r="O34" i="8"/>
  <c r="P34" i="8"/>
  <c r="Q34" i="8"/>
  <c r="R34" i="8"/>
  <c r="S34" i="8"/>
  <c r="T34" i="8"/>
  <c r="I35" i="8"/>
  <c r="J35" i="8"/>
  <c r="K35" i="8"/>
  <c r="L35" i="8"/>
  <c r="M35" i="8"/>
  <c r="N35" i="8"/>
  <c r="O35" i="8"/>
  <c r="P35" i="8"/>
  <c r="Q35" i="8"/>
  <c r="R35" i="8"/>
  <c r="S35" i="8"/>
  <c r="T35" i="8"/>
  <c r="I36" i="8"/>
  <c r="J36" i="8"/>
  <c r="K36" i="8"/>
  <c r="L36" i="8"/>
  <c r="M36" i="8"/>
  <c r="N36" i="8"/>
  <c r="O36" i="8"/>
  <c r="P36" i="8"/>
  <c r="Q36" i="8"/>
  <c r="R36" i="8"/>
  <c r="S36" i="8"/>
  <c r="T36" i="8"/>
  <c r="I37" i="8"/>
  <c r="J37" i="8"/>
  <c r="K37" i="8"/>
  <c r="L37" i="8"/>
  <c r="M37" i="8"/>
  <c r="N37" i="8"/>
  <c r="O37" i="8"/>
  <c r="P37" i="8"/>
  <c r="Q37" i="8"/>
  <c r="R37" i="8"/>
  <c r="S37" i="8"/>
  <c r="T37" i="8"/>
  <c r="I38" i="8"/>
  <c r="J38" i="8"/>
  <c r="K38" i="8"/>
  <c r="L38" i="8"/>
  <c r="M38" i="8"/>
  <c r="N38" i="8"/>
  <c r="O38" i="8"/>
  <c r="P38" i="8"/>
  <c r="Q38" i="8"/>
  <c r="R38" i="8"/>
  <c r="S38" i="8"/>
  <c r="T38" i="8"/>
  <c r="I39" i="8"/>
  <c r="J39" i="8"/>
  <c r="K39" i="8"/>
  <c r="L39" i="8"/>
  <c r="M39" i="8"/>
  <c r="N39" i="8"/>
  <c r="O39" i="8"/>
  <c r="P39" i="8"/>
  <c r="Q39" i="8"/>
  <c r="R39" i="8"/>
  <c r="S39" i="8"/>
  <c r="T39" i="8"/>
  <c r="I40" i="8"/>
  <c r="J40" i="8"/>
  <c r="K40" i="8"/>
  <c r="L40" i="8"/>
  <c r="M40" i="8"/>
  <c r="N40" i="8"/>
  <c r="O40" i="8"/>
  <c r="P40" i="8"/>
  <c r="Q40" i="8"/>
  <c r="R40" i="8"/>
  <c r="S40" i="8"/>
  <c r="T40" i="8"/>
  <c r="I41" i="8"/>
  <c r="J41" i="8"/>
  <c r="K41" i="8"/>
  <c r="L41" i="8"/>
  <c r="M41" i="8"/>
  <c r="N41" i="8"/>
  <c r="O41" i="8"/>
  <c r="P41" i="8"/>
  <c r="Q41" i="8"/>
  <c r="R41" i="8"/>
  <c r="S41" i="8"/>
  <c r="T41" i="8"/>
  <c r="I42" i="8"/>
  <c r="J42" i="8"/>
  <c r="K42" i="8"/>
  <c r="L42" i="8"/>
  <c r="M42" i="8"/>
  <c r="N42" i="8"/>
  <c r="O42" i="8"/>
  <c r="P42" i="8"/>
  <c r="Q42" i="8"/>
  <c r="R42" i="8"/>
  <c r="S42" i="8"/>
  <c r="T42" i="8"/>
  <c r="I43" i="8"/>
  <c r="J43" i="8"/>
  <c r="K43" i="8"/>
  <c r="L43" i="8"/>
  <c r="M43" i="8"/>
  <c r="N43" i="8"/>
  <c r="O43" i="8"/>
  <c r="P43" i="8"/>
  <c r="Q43" i="8"/>
  <c r="R43" i="8"/>
  <c r="S43" i="8"/>
  <c r="T43" i="8"/>
  <c r="I44" i="8"/>
  <c r="J44" i="8"/>
  <c r="K44" i="8"/>
  <c r="L44" i="8"/>
  <c r="M44" i="8"/>
  <c r="N44" i="8"/>
  <c r="O44" i="8"/>
  <c r="P44" i="8"/>
  <c r="Q44" i="8"/>
  <c r="R44" i="8"/>
  <c r="S44" i="8"/>
  <c r="T44" i="8"/>
  <c r="J33" i="8"/>
  <c r="K33" i="8"/>
  <c r="L33" i="8"/>
  <c r="M33" i="8"/>
  <c r="N33" i="8"/>
  <c r="O33" i="8"/>
  <c r="P33" i="8"/>
  <c r="Q33" i="8"/>
  <c r="R33" i="8"/>
  <c r="S33" i="8"/>
  <c r="T33" i="8"/>
  <c r="I33" i="8"/>
  <c r="D6" i="1"/>
  <c r="D7" i="1"/>
  <c r="D8" i="1"/>
  <c r="D9" i="1"/>
  <c r="I6" i="1"/>
  <c r="I7" i="1"/>
  <c r="I8" i="1"/>
  <c r="I9" i="1"/>
  <c r="I25" i="1"/>
  <c r="I26" i="1"/>
  <c r="I27" i="1"/>
  <c r="I28" i="1"/>
  <c r="D25" i="1"/>
  <c r="D26" i="1"/>
  <c r="D27" i="1"/>
  <c r="D28" i="1"/>
  <c r="D43" i="1"/>
  <c r="D44" i="1"/>
  <c r="D45" i="1"/>
  <c r="D46" i="1"/>
  <c r="I43" i="1"/>
  <c r="I44" i="1"/>
  <c r="I45" i="1"/>
  <c r="I46" i="1"/>
  <c r="I62" i="1"/>
  <c r="I63" i="1"/>
  <c r="I64" i="1"/>
  <c r="I65" i="1"/>
  <c r="I7" i="6"/>
  <c r="I8" i="6"/>
  <c r="I9" i="6"/>
  <c r="I10" i="6"/>
  <c r="I11" i="6"/>
  <c r="I12" i="6"/>
  <c r="I13" i="6"/>
  <c r="I14" i="6"/>
  <c r="L14" i="6" s="1"/>
  <c r="I15" i="6"/>
  <c r="I16" i="6"/>
  <c r="I17" i="6"/>
  <c r="I6" i="6"/>
  <c r="D7" i="6"/>
  <c r="D8" i="6"/>
  <c r="D9" i="6"/>
  <c r="D10" i="6"/>
  <c r="D11" i="6"/>
  <c r="L11" i="6" s="1"/>
  <c r="D12" i="6"/>
  <c r="L12" i="6" s="1"/>
  <c r="D13" i="6"/>
  <c r="D14" i="6"/>
  <c r="D15" i="6"/>
  <c r="D16" i="6"/>
  <c r="D17" i="6"/>
  <c r="L17" i="6" s="1"/>
  <c r="D6" i="6"/>
  <c r="I26" i="6"/>
  <c r="I27" i="6"/>
  <c r="I28" i="6"/>
  <c r="I29" i="6"/>
  <c r="I30" i="6"/>
  <c r="I31" i="6"/>
  <c r="I32" i="6"/>
  <c r="I33" i="6"/>
  <c r="I34" i="6"/>
  <c r="I35" i="6"/>
  <c r="I36" i="6"/>
  <c r="I25" i="6"/>
  <c r="D26" i="6"/>
  <c r="D27" i="6"/>
  <c r="D28" i="6"/>
  <c r="D29" i="6"/>
  <c r="D30" i="6"/>
  <c r="L30" i="6" s="1"/>
  <c r="D31" i="6"/>
  <c r="D32" i="6"/>
  <c r="D33" i="6"/>
  <c r="D34" i="6"/>
  <c r="L34" i="6" s="1"/>
  <c r="D35" i="6"/>
  <c r="D36" i="6"/>
  <c r="D25" i="6"/>
  <c r="I44" i="6"/>
  <c r="I45" i="6"/>
  <c r="I46" i="6"/>
  <c r="I47" i="6"/>
  <c r="I48" i="6"/>
  <c r="I49" i="6"/>
  <c r="I50" i="6"/>
  <c r="I51" i="6"/>
  <c r="I52" i="6"/>
  <c r="I53" i="6"/>
  <c r="I54" i="6"/>
  <c r="I43" i="6"/>
  <c r="D44" i="6"/>
  <c r="D45" i="6"/>
  <c r="D46" i="6"/>
  <c r="D47" i="6"/>
  <c r="D48" i="6"/>
  <c r="D49" i="6"/>
  <c r="L49" i="6" s="1"/>
  <c r="D50" i="6"/>
  <c r="D51" i="6"/>
  <c r="D52" i="6"/>
  <c r="D53" i="6"/>
  <c r="D54" i="6"/>
  <c r="D43" i="6"/>
  <c r="I63" i="6"/>
  <c r="I64" i="6"/>
  <c r="I65" i="6"/>
  <c r="I66" i="6"/>
  <c r="I67" i="6"/>
  <c r="I68" i="6"/>
  <c r="I69" i="6"/>
  <c r="I70" i="6"/>
  <c r="I71" i="6"/>
  <c r="I72" i="6"/>
  <c r="I73" i="6"/>
  <c r="I62" i="6"/>
  <c r="D63" i="6"/>
  <c r="D64" i="6"/>
  <c r="D65" i="6"/>
  <c r="D66" i="6"/>
  <c r="D67" i="6"/>
  <c r="D68" i="6"/>
  <c r="D69" i="6"/>
  <c r="D70" i="6"/>
  <c r="D71" i="6"/>
  <c r="D72" i="6"/>
  <c r="D73" i="6"/>
  <c r="L71" i="6"/>
  <c r="D62" i="6"/>
  <c r="I11" i="1"/>
  <c r="I12" i="1"/>
  <c r="I13" i="1"/>
  <c r="I14" i="1"/>
  <c r="I15" i="1"/>
  <c r="I16" i="1"/>
  <c r="I17" i="1"/>
  <c r="I10" i="1"/>
  <c r="D11" i="1"/>
  <c r="D12" i="1"/>
  <c r="D13" i="1"/>
  <c r="D14" i="1"/>
  <c r="D15" i="1"/>
  <c r="D16" i="1"/>
  <c r="D17" i="1"/>
  <c r="D10" i="1"/>
  <c r="I30" i="1"/>
  <c r="I31" i="1"/>
  <c r="I32" i="1"/>
  <c r="I33" i="1"/>
  <c r="L33" i="1" s="1"/>
  <c r="I34" i="1"/>
  <c r="I35" i="1"/>
  <c r="I36" i="1"/>
  <c r="I29" i="1"/>
  <c r="D30" i="1"/>
  <c r="D31" i="1"/>
  <c r="D32" i="1"/>
  <c r="D33" i="1"/>
  <c r="D34" i="1"/>
  <c r="D35" i="1"/>
  <c r="D36" i="1"/>
  <c r="D29" i="1"/>
  <c r="D48" i="1"/>
  <c r="D49" i="1"/>
  <c r="D50" i="1"/>
  <c r="D51" i="1"/>
  <c r="D52" i="1"/>
  <c r="D53" i="1"/>
  <c r="D54" i="1"/>
  <c r="D47" i="1"/>
  <c r="I48" i="1"/>
  <c r="I49" i="1"/>
  <c r="I50" i="1"/>
  <c r="I51" i="1"/>
  <c r="I52" i="1"/>
  <c r="I53" i="1"/>
  <c r="I54" i="1"/>
  <c r="I47" i="1"/>
  <c r="I68" i="1"/>
  <c r="I69" i="1"/>
  <c r="I70" i="1"/>
  <c r="I71" i="1"/>
  <c r="I72" i="1"/>
  <c r="L72" i="1" s="1"/>
  <c r="I73" i="1"/>
  <c r="I66" i="1"/>
  <c r="I67" i="1"/>
  <c r="D67" i="1"/>
  <c r="D68" i="1"/>
  <c r="D69" i="1"/>
  <c r="D70" i="1"/>
  <c r="D71" i="1"/>
  <c r="D72" i="1"/>
  <c r="D73" i="1"/>
  <c r="D62" i="1"/>
  <c r="D63" i="1"/>
  <c r="D64" i="1"/>
  <c r="D65" i="1"/>
  <c r="D66" i="1"/>
  <c r="J52" i="6"/>
  <c r="E52" i="6"/>
  <c r="J51" i="6"/>
  <c r="E51" i="6"/>
  <c r="J15" i="6"/>
  <c r="J14" i="6"/>
  <c r="E15" i="6"/>
  <c r="E14" i="6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E36" i="1"/>
  <c r="E35" i="1"/>
  <c r="E33" i="1"/>
  <c r="E32" i="1"/>
  <c r="E73" i="1"/>
  <c r="E72" i="1"/>
  <c r="E70" i="1"/>
  <c r="E69" i="1"/>
  <c r="J51" i="1"/>
  <c r="J52" i="1"/>
  <c r="E52" i="1"/>
  <c r="E51" i="1"/>
  <c r="L29" i="1"/>
  <c r="J15" i="1"/>
  <c r="E15" i="1"/>
  <c r="J14" i="1"/>
  <c r="E14" i="1"/>
  <c r="J73" i="6"/>
  <c r="E73" i="6"/>
  <c r="J72" i="6"/>
  <c r="M72" i="6" s="1"/>
  <c r="E72" i="6"/>
  <c r="J71" i="6"/>
  <c r="E71" i="6"/>
  <c r="J70" i="6"/>
  <c r="E70" i="6"/>
  <c r="J69" i="6"/>
  <c r="E69" i="6"/>
  <c r="J68" i="6"/>
  <c r="E68" i="6"/>
  <c r="J67" i="6"/>
  <c r="E67" i="6"/>
  <c r="L66" i="6"/>
  <c r="J66" i="6"/>
  <c r="E66" i="6"/>
  <c r="J54" i="6"/>
  <c r="E54" i="6"/>
  <c r="J53" i="6"/>
  <c r="M53" i="6" s="1"/>
  <c r="E53" i="6"/>
  <c r="L52" i="6"/>
  <c r="L51" i="6"/>
  <c r="L50" i="6"/>
  <c r="J50" i="6"/>
  <c r="E50" i="6"/>
  <c r="J49" i="6"/>
  <c r="E49" i="6"/>
  <c r="M49" i="6" s="1"/>
  <c r="J48" i="6"/>
  <c r="E48" i="6"/>
  <c r="L47" i="6"/>
  <c r="J47" i="6"/>
  <c r="E47" i="6"/>
  <c r="J36" i="6"/>
  <c r="E36" i="6"/>
  <c r="M36" i="6" s="1"/>
  <c r="J35" i="6"/>
  <c r="E35" i="6"/>
  <c r="J34" i="6"/>
  <c r="E34" i="6"/>
  <c r="J33" i="6"/>
  <c r="E33" i="6"/>
  <c r="J32" i="6"/>
  <c r="E32" i="6"/>
  <c r="J31" i="6"/>
  <c r="E31" i="6"/>
  <c r="L31" i="6"/>
  <c r="J30" i="6"/>
  <c r="E30" i="6"/>
  <c r="L29" i="6"/>
  <c r="J29" i="6"/>
  <c r="E29" i="6"/>
  <c r="J17" i="6"/>
  <c r="E17" i="6"/>
  <c r="J16" i="6"/>
  <c r="E16" i="6"/>
  <c r="L15" i="6"/>
  <c r="L13" i="6"/>
  <c r="J13" i="6"/>
  <c r="M13" i="6" s="1"/>
  <c r="E13" i="6"/>
  <c r="J12" i="6"/>
  <c r="E12" i="6"/>
  <c r="M12" i="6" s="1"/>
  <c r="J11" i="6"/>
  <c r="E11" i="6"/>
  <c r="L10" i="6"/>
  <c r="J10" i="6"/>
  <c r="E10" i="6"/>
  <c r="M10" i="6" s="1"/>
  <c r="L34" i="1"/>
  <c r="J73" i="1"/>
  <c r="J72" i="1"/>
  <c r="J71" i="1"/>
  <c r="E71" i="1"/>
  <c r="J70" i="1"/>
  <c r="J69" i="1"/>
  <c r="J68" i="1"/>
  <c r="E68" i="1"/>
  <c r="J67" i="1"/>
  <c r="E67" i="1"/>
  <c r="J66" i="1"/>
  <c r="E66" i="1"/>
  <c r="J54" i="1"/>
  <c r="E54" i="1"/>
  <c r="J53" i="1"/>
  <c r="E53" i="1"/>
  <c r="J50" i="1"/>
  <c r="E50" i="1"/>
  <c r="J49" i="1"/>
  <c r="E49" i="1"/>
  <c r="J48" i="1"/>
  <c r="E48" i="1"/>
  <c r="J47" i="1"/>
  <c r="E47" i="1"/>
  <c r="E31" i="1"/>
  <c r="E34" i="1"/>
  <c r="E29" i="1"/>
  <c r="E30" i="1"/>
  <c r="J36" i="1"/>
  <c r="J35" i="1"/>
  <c r="J34" i="1"/>
  <c r="J33" i="1"/>
  <c r="J32" i="1"/>
  <c r="J31" i="1"/>
  <c r="J30" i="1"/>
  <c r="J29" i="1"/>
  <c r="E10" i="1"/>
  <c r="E12" i="1"/>
  <c r="E13" i="1"/>
  <c r="E16" i="1"/>
  <c r="E17" i="1"/>
  <c r="E11" i="1"/>
  <c r="J12" i="1"/>
  <c r="J13" i="1"/>
  <c r="J16" i="1"/>
  <c r="J17" i="1"/>
  <c r="J10" i="1"/>
  <c r="J11" i="1"/>
  <c r="L67" i="1" l="1"/>
  <c r="M67" i="1"/>
  <c r="M17" i="1"/>
  <c r="L49" i="1"/>
  <c r="M70" i="1"/>
  <c r="M72" i="1"/>
  <c r="M47" i="6"/>
  <c r="L48" i="6"/>
  <c r="M48" i="6"/>
  <c r="M51" i="6"/>
  <c r="M52" i="6"/>
  <c r="L53" i="6"/>
  <c r="M54" i="6"/>
  <c r="M50" i="6"/>
  <c r="M11" i="6"/>
  <c r="M14" i="6"/>
  <c r="L16" i="6"/>
  <c r="M17" i="6"/>
  <c r="M16" i="6"/>
  <c r="L35" i="6"/>
  <c r="M35" i="6"/>
  <c r="L33" i="6"/>
  <c r="L32" i="6"/>
  <c r="M33" i="6"/>
  <c r="M31" i="6"/>
  <c r="M29" i="6"/>
  <c r="L73" i="6"/>
  <c r="M73" i="6"/>
  <c r="M71" i="6"/>
  <c r="L70" i="6"/>
  <c r="L69" i="6"/>
  <c r="M70" i="6"/>
  <c r="M69" i="6"/>
  <c r="M66" i="6"/>
  <c r="L67" i="6"/>
  <c r="M68" i="6"/>
  <c r="M67" i="6"/>
  <c r="M30" i="6"/>
  <c r="M32" i="6"/>
  <c r="M34" i="6"/>
  <c r="L36" i="6"/>
  <c r="L54" i="6"/>
  <c r="L72" i="6"/>
  <c r="L68" i="6"/>
  <c r="L50" i="1"/>
  <c r="L68" i="1"/>
  <c r="L66" i="1"/>
  <c r="L71" i="1"/>
  <c r="M15" i="6"/>
  <c r="L70" i="1"/>
  <c r="L52" i="1"/>
  <c r="L51" i="1"/>
  <c r="L47" i="1"/>
  <c r="M53" i="1"/>
  <c r="M47" i="1"/>
  <c r="L31" i="1"/>
  <c r="L10" i="1"/>
  <c r="L15" i="1"/>
  <c r="L14" i="1"/>
  <c r="L13" i="1"/>
  <c r="M68" i="1"/>
  <c r="M48" i="1"/>
  <c r="M54" i="1"/>
  <c r="M51" i="1"/>
  <c r="M50" i="1"/>
  <c r="L36" i="1"/>
  <c r="M36" i="1"/>
  <c r="M32" i="1"/>
  <c r="M14" i="1"/>
  <c r="M15" i="1"/>
  <c r="M11" i="1"/>
  <c r="M16" i="1"/>
  <c r="L11" i="1"/>
  <c r="L16" i="1"/>
  <c r="L12" i="1"/>
  <c r="M13" i="1"/>
  <c r="M12" i="1"/>
  <c r="M10" i="1"/>
  <c r="L17" i="1"/>
  <c r="M30" i="1"/>
  <c r="M29" i="1"/>
  <c r="M34" i="1"/>
  <c r="M35" i="1"/>
  <c r="M33" i="1"/>
  <c r="L35" i="1"/>
  <c r="M31" i="1"/>
  <c r="L32" i="1"/>
  <c r="L30" i="1"/>
  <c r="L54" i="1"/>
  <c r="M52" i="1"/>
  <c r="L48" i="1"/>
  <c r="M71" i="1"/>
  <c r="L69" i="1"/>
  <c r="M69" i="1"/>
  <c r="L73" i="1"/>
  <c r="M73" i="1"/>
  <c r="M66" i="1"/>
  <c r="L53" i="1"/>
  <c r="M4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885DC9-CFAB-4AF8-A944-74C16A51B42E}" keepAlive="1" name="Query - 9 8 1_new" description="Connection to the '9 8 1_new' query in the workbook." type="5" refreshedVersion="0" background="1">
    <dbPr connection="Provider=Microsoft.Mashup.OleDb.1;Data Source=$Workbook$;Location=&quot;9 8 1_new&quot;;Extended Properties=&quot;&quot;" command="SELECT * FROM [9 8 1_new]"/>
  </connection>
  <connection id="2" xr16:uid="{2EBD793C-89DD-4333-9A83-7BBFC604C062}" keepAlive="1" name="Query - eig_vals_BIRE" description="Connection to the 'eig_vals_BIRE' query in the workbook." type="5" refreshedVersion="0" background="1">
    <dbPr connection="Provider=Microsoft.Mashup.OleDb.1;Data Source=$Workbook$;Location=eig_vals_BIRE;Extended Properties=&quot;&quot;" command="SELECT * FROM [eig_vals_BIRE]"/>
  </connection>
  <connection id="3" xr16:uid="{B2403132-08B0-48B1-A967-C4FC716107A3}" keepAlive="1" name="Query - eig_vals_BIRE_60deg_bank" description="Connection to the 'eig_vals_BIRE_60deg_bank' query in the workbook." type="5" refreshedVersion="0" background="1">
    <dbPr connection="Provider=Microsoft.Mashup.OleDb.1;Data Source=$Workbook$;Location=eig_vals_BIRE_60deg_bank;Extended Properties=&quot;&quot;" command="SELECT * FROM [eig_vals_BIRE_60deg_bank]"/>
  </connection>
  <connection id="4" xr16:uid="{55A96099-39D9-4757-8A9C-3D86CAEA5F3F}" keepAlive="1" name="Query - eig_vals_BIRE_60deg_bank_cg_shift" description="Connection to the 'eig_vals_BIRE_60deg_bank_cg_shift' query in the workbook." type="5" refreshedVersion="0" background="1">
    <dbPr connection="Provider=Microsoft.Mashup.OleDb.1;Data Source=$Workbook$;Location=eig_vals_BIRE_60deg_bank_cg_shift;Extended Properties=&quot;&quot;" command="SELECT * FROM [eig_vals_BIRE_60deg_bank_cg_shift]"/>
  </connection>
  <connection id="5" xr16:uid="{D21EFF39-0E8A-4E70-98B9-A92DD3E372BC}" keepAlive="1" name="Query - eig_vals_BIRE_cg_shift" description="Connection to the 'eig_vals_BIRE_cg_shift' query in the workbook." type="5" refreshedVersion="0" background="1">
    <dbPr connection="Provider=Microsoft.Mashup.OleDb.1;Data Source=$Workbook$;Location=eig_vals_BIRE_cg_shift;Extended Properties=&quot;&quot;" command="SELECT * FROM [eig_vals_BIRE_cg_shift]"/>
  </connection>
  <connection id="6" xr16:uid="{843897CC-ABE1-4A4A-A5B9-A65413A0B30E}" keepAlive="1" name="Query - eig_vals_F16_60deg_bank" description="Connection to the 'eig_vals_F16_60deg_bank' query in the workbook." type="5" refreshedVersion="0" background="1">
    <dbPr connection="Provider=Microsoft.Mashup.OleDb.1;Data Source=$Workbook$;Location=eig_vals_F16_60deg_bank;Extended Properties=&quot;&quot;" command="SELECT * FROM [eig_vals_F16_60deg_bank]"/>
  </connection>
  <connection id="7" xr16:uid="{DFA9BF3C-0CCD-41E3-8B1F-B40F659DEF80}" keepAlive="1" name="Query - eig_vals_F16_60deg_bank_cg_shift" description="Connection to the 'eig_vals_F16_60deg_bank_cg_shift' query in the workbook." type="5" refreshedVersion="0" background="1">
    <dbPr connection="Provider=Microsoft.Mashup.OleDb.1;Data Source=$Workbook$;Location=eig_vals_F16_60deg_bank_cg_shift;Extended Properties=&quot;&quot;" command="SELECT * FROM [eig_vals_F16_60deg_bank_cg_shift]"/>
  </connection>
  <connection id="8" xr16:uid="{E97F4A69-3D70-4F2E-BF2E-8D9F08154CF8}" keepAlive="1" name="Query - eig_vals_F16_cg_shift" description="Connection to the 'eig_vals_F16_cg_shift' query in the workbook." type="5" refreshedVersion="0" background="1">
    <dbPr connection="Provider=Microsoft.Mashup.OleDb.1;Data Source=$Workbook$;Location=eig_vals_F16_cg_shift;Extended Properties=&quot;&quot;" command="SELECT * FROM [eig_vals_F16_cg_shift]"/>
  </connection>
  <connection id="9" xr16:uid="{8AB2382C-FA05-4A11-BA92-E00711EFF920}" keepAlive="1" name="Query - test" description="Connection to the 'test' query in the workbook." type="5" refreshedVersion="0" background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<sst xmlns="http://schemas.openxmlformats.org/spreadsheetml/2006/main" count="887" uniqueCount="126">
  <si>
    <t>Eigenvalues</t>
  </si>
  <si>
    <t>Period</t>
  </si>
  <si>
    <t>Damping</t>
  </si>
  <si>
    <t>inf</t>
  </si>
  <si>
    <t>Updated Method</t>
  </si>
  <si>
    <t>Austin's Method</t>
  </si>
  <si>
    <t>Mode</t>
  </si>
  <si>
    <t>Phugoid</t>
  </si>
  <si>
    <t>Dutch Roll</t>
  </si>
  <si>
    <t>Roll</t>
  </si>
  <si>
    <t>SP</t>
  </si>
  <si>
    <t>CG_SHIFT = [0.0, 0.0, 0.0]</t>
  </si>
  <si>
    <t>CG_SHIFT = [1.0, 0.0, 0.0]</t>
  </si>
  <si>
    <t>Spiral</t>
  </si>
  <si>
    <t>Bank Angle = 0.0</t>
  </si>
  <si>
    <t>Bank Angle = 60.0</t>
  </si>
  <si>
    <t>%Diff Period</t>
  </si>
  <si>
    <t>%Diff Damping</t>
  </si>
  <si>
    <t>F-16 DATA</t>
  </si>
  <si>
    <t>BIRE DATA</t>
  </si>
  <si>
    <t>Phillips' Solution</t>
  </si>
  <si>
    <t>Bank Angle = 60 deg</t>
  </si>
  <si>
    <t>FX,u</t>
  </si>
  <si>
    <t>FX,v</t>
  </si>
  <si>
    <t>FX,w</t>
  </si>
  <si>
    <t>FX,p</t>
  </si>
  <si>
    <t>FX,q</t>
  </si>
  <si>
    <t>FX,r</t>
  </si>
  <si>
    <t>FY,u</t>
  </si>
  <si>
    <t>FY,v</t>
  </si>
  <si>
    <t>FY,w</t>
  </si>
  <si>
    <t>FY,p</t>
  </si>
  <si>
    <t>FY,q</t>
  </si>
  <si>
    <t>FY,r</t>
  </si>
  <si>
    <t>FZ,u</t>
  </si>
  <si>
    <t>FZ,v</t>
  </si>
  <si>
    <t>FZ,w</t>
  </si>
  <si>
    <t>FZ,p</t>
  </si>
  <si>
    <t>FZ,q</t>
  </si>
  <si>
    <t>FZ,r</t>
  </si>
  <si>
    <t>MX,u</t>
  </si>
  <si>
    <t>MY,u</t>
  </si>
  <si>
    <t>MZ,u</t>
  </si>
  <si>
    <t>MX,v</t>
  </si>
  <si>
    <t>MX,w</t>
  </si>
  <si>
    <t>MX,p</t>
  </si>
  <si>
    <t>MX,q</t>
  </si>
  <si>
    <t>MX,r</t>
  </si>
  <si>
    <t>MY,v</t>
  </si>
  <si>
    <t>MY,w</t>
  </si>
  <si>
    <t>MY,p</t>
  </si>
  <si>
    <t>MY,q</t>
  </si>
  <si>
    <t>MY,r</t>
  </si>
  <si>
    <t>MZ,v</t>
  </si>
  <si>
    <t>MZ,w</t>
  </si>
  <si>
    <t>MZ,p</t>
  </si>
  <si>
    <t>MZ,q</t>
  </si>
  <si>
    <t>MZ,r</t>
  </si>
  <si>
    <t>Method #1 (Phillips - partial method - numerical)</t>
  </si>
  <si>
    <t>Derivatives</t>
  </si>
  <si>
    <t>A Matrix</t>
  </si>
  <si>
    <t>Analytic Derivatives (From Ben)</t>
  </si>
  <si>
    <t>Method #2 (Simple body-fixed perturbation method  - numerical)</t>
  </si>
  <si>
    <t>Method #3 (Austin - Wind to Body-fixed  perturbation method  - numerical)</t>
  </si>
  <si>
    <t>Method #4 (My Implementation of Austin - Wind to Body-fixed  perturbation method  - numerical)</t>
  </si>
  <si>
    <t>LogTemp:</t>
  </si>
  <si>
    <t>Warning:</t>
  </si>
  <si>
    <t>B Matrix</t>
  </si>
  <si>
    <t>My Method - Austins Derivatives</t>
  </si>
  <si>
    <t>Austins Method - Austins Derivatives</t>
  </si>
  <si>
    <t>Difference</t>
  </si>
  <si>
    <t>------</t>
  </si>
  <si>
    <t>Trim</t>
  </si>
  <si>
    <t>Solution</t>
  </si>
  <si>
    <t>Elevation</t>
  </si>
  <si>
    <t>(deg.)</t>
  </si>
  <si>
    <t>:</t>
  </si>
  <si>
    <t>Bank</t>
  </si>
  <si>
    <t>Alpha</t>
  </si>
  <si>
    <t>Beta</t>
  </si>
  <si>
    <t>p</t>
  </si>
  <si>
    <t>(deg./s)</t>
  </si>
  <si>
    <t>q</t>
  </si>
  <si>
    <t>r</t>
  </si>
  <si>
    <t>Aileron</t>
  </si>
  <si>
    <t>Elevator</t>
  </si>
  <si>
    <t>Rudder</t>
  </si>
  <si>
    <t>Throttle</t>
  </si>
  <si>
    <t>Thrust</t>
  </si>
  <si>
    <t>(lbf.)</t>
  </si>
  <si>
    <t>Load</t>
  </si>
  <si>
    <t>Factor</t>
  </si>
  <si>
    <t>Number</t>
  </si>
  <si>
    <t>of</t>
  </si>
  <si>
    <t>Iterations</t>
  </si>
  <si>
    <t>Christians Trim Code</t>
  </si>
  <si>
    <t>elevation_angle[deg]</t>
  </si>
  <si>
    <t>=</t>
  </si>
  <si>
    <t>bank_angle[deg]</t>
  </si>
  <si>
    <t>alpha[deg]</t>
  </si>
  <si>
    <t>beta[deg]</t>
  </si>
  <si>
    <t>p[deg/s]</t>
  </si>
  <si>
    <t>q[deg/s]</t>
  </si>
  <si>
    <t>r[deg/s]</t>
  </si>
  <si>
    <t>aileron[deg]</t>
  </si>
  <si>
    <t>elevator[deg]</t>
  </si>
  <si>
    <t>rudder[deg]</t>
  </si>
  <si>
    <t>throttle</t>
  </si>
  <si>
    <t>Final</t>
  </si>
  <si>
    <t>trim</t>
  </si>
  <si>
    <t>states:</t>
  </si>
  <si>
    <t>u</t>
  </si>
  <si>
    <t>v</t>
  </si>
  <si>
    <t>w</t>
  </si>
  <si>
    <t>x</t>
  </si>
  <si>
    <t>y</t>
  </si>
  <si>
    <t>z</t>
  </si>
  <si>
    <t>e0</t>
  </si>
  <si>
    <t>ex</t>
  </si>
  <si>
    <t>ey</t>
  </si>
  <si>
    <t>ez</t>
  </si>
  <si>
    <t>Unreal Code</t>
  </si>
  <si>
    <t>F-16 [1.0, 0.0, 0.0]</t>
  </si>
  <si>
    <t>BIRE [1.0, 0.0, 0.0]</t>
  </si>
  <si>
    <t>F-16 [1.0,0.0,0.0]</t>
  </si>
  <si>
    <t>BIRE [1.0,0.0,0.0]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</si>
</sst>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"/>
    <numFmt numFmtId="166" formatCode="0.00000"/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4" xfId="0" applyNumberFormat="1" applyBorder="1"/>
    <xf numFmtId="164" fontId="0" fillId="0" borderId="0" xfId="0" applyNumberFormat="1"/>
    <xf numFmtId="0" fontId="0" fillId="0" borderId="5" xfId="0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164" fontId="0" fillId="0" borderId="2" xfId="0" applyNumberFormat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7" fontId="0" fillId="0" borderId="1" xfId="0" applyNumberFormat="1" applyBorder="1"/>
    <xf numFmtId="167" fontId="0" fillId="0" borderId="2" xfId="0" applyNumberFormat="1" applyBorder="1"/>
    <xf numFmtId="167" fontId="0" fillId="0" borderId="4" xfId="0" applyNumberFormat="1" applyBorder="1"/>
    <xf numFmtId="167" fontId="0" fillId="0" borderId="0" xfId="0" applyNumberFormat="1"/>
    <xf numFmtId="167" fontId="0" fillId="2" borderId="4" xfId="0" applyNumberFormat="1" applyFill="1" applyBorder="1"/>
    <xf numFmtId="167" fontId="0" fillId="2" borderId="0" xfId="0" applyNumberFormat="1" applyFill="1"/>
    <xf numFmtId="167" fontId="0" fillId="2" borderId="6" xfId="0" applyNumberFormat="1" applyFill="1" applyBorder="1"/>
    <xf numFmtId="167" fontId="0" fillId="2" borderId="7" xfId="0" applyNumberFormat="1" applyFill="1" applyBorder="1"/>
    <xf numFmtId="167" fontId="0" fillId="3" borderId="0" xfId="0" applyNumberFormat="1" applyFill="1"/>
    <xf numFmtId="167" fontId="0" fillId="4" borderId="0" xfId="0" applyNumberFormat="1" applyFill="1"/>
    <xf numFmtId="167" fontId="0" fillId="3" borderId="7" xfId="0" applyNumberFormat="1" applyFill="1" applyBorder="1"/>
    <xf numFmtId="167" fontId="0" fillId="4" borderId="7" xfId="0" applyNumberFormat="1" applyFill="1" applyBorder="1"/>
    <xf numFmtId="166" fontId="0" fillId="3" borderId="0" xfId="0" applyNumberFormat="1" applyFill="1"/>
    <xf numFmtId="166" fontId="0" fillId="4" borderId="0" xfId="0" applyNumberFormat="1" applyFill="1"/>
    <xf numFmtId="166" fontId="0" fillId="3" borderId="7" xfId="0" applyNumberFormat="1" applyFill="1" applyBorder="1"/>
    <xf numFmtId="166" fontId="0" fillId="4" borderId="7" xfId="0" applyNumberFormat="1" applyFill="1" applyBorder="1"/>
    <xf numFmtId="165" fontId="0" fillId="3" borderId="0" xfId="0" applyNumberFormat="1" applyFill="1"/>
    <xf numFmtId="165" fontId="0" fillId="4" borderId="0" xfId="0" applyNumberFormat="1" applyFill="1"/>
    <xf numFmtId="165" fontId="0" fillId="3" borderId="7" xfId="0" applyNumberFormat="1" applyFill="1" applyBorder="1"/>
    <xf numFmtId="165" fontId="0" fillId="4" borderId="7" xfId="0" applyNumberFormat="1" applyFill="1" applyBorder="1"/>
    <xf numFmtId="167" fontId="0" fillId="0" borderId="3" xfId="0" applyNumberFormat="1" applyBorder="1"/>
    <xf numFmtId="167" fontId="0" fillId="0" borderId="5" xfId="0" applyNumberFormat="1" applyBorder="1"/>
    <xf numFmtId="167" fontId="0" fillId="0" borderId="8" xfId="0" applyNumberFormat="1" applyBorder="1"/>
    <xf numFmtId="167" fontId="0" fillId="0" borderId="11" xfId="0" applyNumberFormat="1" applyBorder="1"/>
    <xf numFmtId="167" fontId="0" fillId="0" borderId="12" xfId="0" applyNumberFormat="1" applyBorder="1"/>
    <xf numFmtId="167" fontId="0" fillId="0" borderId="13" xfId="0" applyNumberFormat="1" applyBorder="1"/>
    <xf numFmtId="0" fontId="1" fillId="0" borderId="0" xfId="0" applyFont="1"/>
    <xf numFmtId="167" fontId="2" fillId="0" borderId="0" xfId="0" applyNumberFormat="1" applyFont="1"/>
    <xf numFmtId="11" fontId="0" fillId="0" borderId="0" xfId="0" applyNumberFormat="1"/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167" fontId="0" fillId="0" borderId="2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F-16 -</a:t>
            </a:r>
            <a:r>
              <a:rPr lang="en-US"/>
              <a:t> bank angle = 0.0</a:t>
            </a:r>
            <a:r>
              <a:rPr lang="en-US" baseline="0"/>
              <a:t> - </a:t>
            </a:r>
            <a:r>
              <a:rPr lang="en-US"/>
              <a:t>no</a:t>
            </a:r>
            <a:r>
              <a:rPr lang="en-US" baseline="0"/>
              <a:t>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'F-16'!$B$13:$B$14</c:f>
              <c:numCache>
                <c:formatCode>0.000000</c:formatCode>
                <c:ptCount val="2"/>
                <c:pt idx="0">
                  <c:v>1.014363683182</c:v>
                </c:pt>
                <c:pt idx="1">
                  <c:v>-2.7764362530010001</c:v>
                </c:pt>
              </c:numCache>
            </c:numRef>
          </c:xVal>
          <c:yVal>
            <c:numRef>
              <c:f>'F-16'!$C$13:$C$14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9-4CF9-8CD6-CFC9511583F6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'F-16'!$G$13:$G$14</c:f>
              <c:numCache>
                <c:formatCode>0.000000</c:formatCode>
                <c:ptCount val="2"/>
                <c:pt idx="0">
                  <c:v>1.01146</c:v>
                </c:pt>
                <c:pt idx="1">
                  <c:v>-2.7756699999999999</c:v>
                </c:pt>
              </c:numCache>
            </c:numRef>
          </c:xVal>
          <c:yVal>
            <c:numRef>
              <c:f>'F-16'!$H$13:$H$14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9-4CF9-8CD6-CFC9511583F6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'F-16'!$B$11:$B$12</c:f>
              <c:numCache>
                <c:formatCode>0.000000</c:formatCode>
                <c:ptCount val="2"/>
                <c:pt idx="0">
                  <c:v>-6.81733389E-3</c:v>
                </c:pt>
                <c:pt idx="1">
                  <c:v>-6.81733389E-3</c:v>
                </c:pt>
              </c:numCache>
            </c:numRef>
          </c:xVal>
          <c:yVal>
            <c:numRef>
              <c:f>'F-16'!$C$11:$C$12</c:f>
              <c:numCache>
                <c:formatCode>0.000000</c:formatCode>
                <c:ptCount val="2"/>
                <c:pt idx="0">
                  <c:v>8.0228096772999996E-2</c:v>
                </c:pt>
                <c:pt idx="1">
                  <c:v>-8.0228096772999996E-2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C9-4CF9-8CD6-CFC9511583F6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'F-16'!$G$11:$G$12</c:f>
              <c:numCache>
                <c:formatCode>0.000000</c:formatCode>
                <c:ptCount val="2"/>
                <c:pt idx="0">
                  <c:v>-2.1158000000000001E-3</c:v>
                </c:pt>
                <c:pt idx="1">
                  <c:v>-2.1158000000000001E-3</c:v>
                </c:pt>
              </c:numCache>
            </c:numRef>
          </c:xVal>
          <c:yVal>
            <c:numRef>
              <c:f>'F-16'!$H$11:$H$12</c:f>
              <c:numCache>
                <c:formatCode>0.000000</c:formatCode>
                <c:ptCount val="2"/>
                <c:pt idx="0">
                  <c:v>8.8857099999999994E-2</c:v>
                </c:pt>
                <c:pt idx="1">
                  <c:v>-8.8857099999999994E-2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9-4CF9-8CD6-CFC9511583F6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'F-16'!$B$16:$B$17</c:f>
              <c:numCache>
                <c:formatCode>0.000000</c:formatCode>
                <c:ptCount val="2"/>
                <c:pt idx="0">
                  <c:v>-0.212916551683</c:v>
                </c:pt>
                <c:pt idx="1">
                  <c:v>-0.212916551683</c:v>
                </c:pt>
              </c:numCache>
            </c:numRef>
          </c:xVal>
          <c:yVal>
            <c:numRef>
              <c:f>'F-16'!$C$16:$C$17</c:f>
              <c:numCache>
                <c:formatCode>0.000000</c:formatCode>
                <c:ptCount val="2"/>
                <c:pt idx="0">
                  <c:v>3.412961756793</c:v>
                </c:pt>
                <c:pt idx="1">
                  <c:v>-3.412961756793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C9-4CF9-8CD6-CFC9511583F6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'F-16'!$G$16:$G$17</c:f>
              <c:numCache>
                <c:formatCode>0.000000</c:formatCode>
                <c:ptCount val="2"/>
                <c:pt idx="0">
                  <c:v>-0.129162</c:v>
                </c:pt>
                <c:pt idx="1">
                  <c:v>-0.129162</c:v>
                </c:pt>
              </c:numCache>
            </c:numRef>
          </c:xVal>
          <c:yVal>
            <c:numRef>
              <c:f>'F-16'!$H$16:$H$17</c:f>
              <c:numCache>
                <c:formatCode>0.000000</c:formatCode>
                <c:ptCount val="2"/>
                <c:pt idx="0">
                  <c:v>3.3148300000000002</c:v>
                </c:pt>
                <c:pt idx="1">
                  <c:v>-3.3148300000000002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9-4CF9-8CD6-CFC951158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2"/>
          <c:min val="-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F-16 -</a:t>
            </a:r>
            <a:r>
              <a:rPr lang="en-US"/>
              <a:t> bank angle = 0.0</a:t>
            </a:r>
            <a:r>
              <a:rPr lang="en-US" baseline="0"/>
              <a:t> -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'F-16'!$B$32:$B$33</c:f>
              <c:numCache>
                <c:formatCode>0.000000</c:formatCode>
                <c:ptCount val="2"/>
                <c:pt idx="0">
                  <c:v>-0.90755114448200003</c:v>
                </c:pt>
                <c:pt idx="1">
                  <c:v>-0.90755114448200003</c:v>
                </c:pt>
              </c:numCache>
            </c:numRef>
          </c:xVal>
          <c:yVal>
            <c:numRef>
              <c:f>'F-16'!$C$32:$C$33</c:f>
              <c:numCache>
                <c:formatCode>0.000000</c:formatCode>
                <c:ptCount val="2"/>
                <c:pt idx="0">
                  <c:v>1.580048740846</c:v>
                </c:pt>
                <c:pt idx="1">
                  <c:v>-1.580048740846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4-406C-9094-01D0E4D2EB3C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'F-16'!$G$32:$G$33</c:f>
              <c:numCache>
                <c:formatCode>0.000000</c:formatCode>
                <c:ptCount val="2"/>
                <c:pt idx="0">
                  <c:v>-0.90709300000000004</c:v>
                </c:pt>
                <c:pt idx="1">
                  <c:v>-0.90709300000000004</c:v>
                </c:pt>
              </c:numCache>
            </c:numRef>
          </c:xVal>
          <c:yVal>
            <c:numRef>
              <c:f>'F-16'!$H$32:$H$33</c:f>
              <c:numCache>
                <c:formatCode>0.000000</c:formatCode>
                <c:ptCount val="2"/>
                <c:pt idx="0">
                  <c:v>1.58175</c:v>
                </c:pt>
                <c:pt idx="1">
                  <c:v>1.58175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4-406C-9094-01D0E4D2EB3C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'F-16'!$B$30:$B$31</c:f>
              <c:numCache>
                <c:formatCode>0.000000</c:formatCode>
                <c:ptCount val="2"/>
                <c:pt idx="0">
                  <c:v>-4.2295258159999998E-3</c:v>
                </c:pt>
                <c:pt idx="1">
                  <c:v>-4.2295258159999998E-3</c:v>
                </c:pt>
              </c:numCache>
            </c:numRef>
          </c:xVal>
          <c:yVal>
            <c:numRef>
              <c:f>'F-16'!$C$30:$C$31</c:f>
              <c:numCache>
                <c:formatCode>0.000000</c:formatCode>
                <c:ptCount val="2"/>
                <c:pt idx="0">
                  <c:v>6.2582324726000005E-2</c:v>
                </c:pt>
                <c:pt idx="1">
                  <c:v>-6.2582324726000005E-2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4-406C-9094-01D0E4D2EB3C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'F-16'!$G$30:$G$31</c:f>
              <c:numCache>
                <c:formatCode>0.000000</c:formatCode>
                <c:ptCount val="2"/>
                <c:pt idx="0">
                  <c:v>-6.5833999999999999E-4</c:v>
                </c:pt>
                <c:pt idx="1">
                  <c:v>-6.5833999999999999E-4</c:v>
                </c:pt>
              </c:numCache>
            </c:numRef>
          </c:xVal>
          <c:yVal>
            <c:numRef>
              <c:f>'F-16'!$H$30:$H$31</c:f>
              <c:numCache>
                <c:formatCode>0.000000</c:formatCode>
                <c:ptCount val="2"/>
                <c:pt idx="0">
                  <c:v>6.9493799999999994E-2</c:v>
                </c:pt>
                <c:pt idx="1">
                  <c:v>-6.9493799999999994E-2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4-406C-9094-01D0E4D2EB3C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'F-16'!$B$35:$B$36</c:f>
              <c:numCache>
                <c:formatCode>0.000000</c:formatCode>
                <c:ptCount val="2"/>
                <c:pt idx="0">
                  <c:v>-0.225171367516</c:v>
                </c:pt>
                <c:pt idx="1">
                  <c:v>-0.225171367516</c:v>
                </c:pt>
              </c:numCache>
            </c:numRef>
          </c:xVal>
          <c:yVal>
            <c:numRef>
              <c:f>'F-16'!$C$35:$C$36</c:f>
              <c:numCache>
                <c:formatCode>0.000000</c:formatCode>
                <c:ptCount val="2"/>
                <c:pt idx="0">
                  <c:v>3.6223994508419999</c:v>
                </c:pt>
                <c:pt idx="1">
                  <c:v>-3.6223994508419999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4-406C-9094-01D0E4D2EB3C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'F-16'!$G$35:$G$36</c:f>
              <c:numCache>
                <c:formatCode>0.000000</c:formatCode>
                <c:ptCount val="2"/>
                <c:pt idx="0">
                  <c:v>-0.13963</c:v>
                </c:pt>
                <c:pt idx="1">
                  <c:v>-0.13963</c:v>
                </c:pt>
              </c:numCache>
            </c:numRef>
          </c:xVal>
          <c:yVal>
            <c:numRef>
              <c:f>'F-16'!$H$35:$H$36</c:f>
              <c:numCache>
                <c:formatCode>0.000000</c:formatCode>
                <c:ptCount val="2"/>
                <c:pt idx="0">
                  <c:v>3.5178099999999999</c:v>
                </c:pt>
                <c:pt idx="1">
                  <c:v>-3.5178099999999999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4-406C-9094-01D0E4D2E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F-16 -</a:t>
            </a:r>
            <a:r>
              <a:rPr lang="en-US"/>
              <a:t> bank angle = 60.0</a:t>
            </a:r>
            <a:r>
              <a:rPr lang="en-US" baseline="0"/>
              <a:t> - </a:t>
            </a:r>
            <a:r>
              <a:rPr lang="en-US"/>
              <a:t>no</a:t>
            </a:r>
            <a:r>
              <a:rPr lang="en-US" baseline="0"/>
              <a:t>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'F-16'!$B$50:$B$51</c:f>
              <c:numCache>
                <c:formatCode>0.000000</c:formatCode>
                <c:ptCount val="2"/>
                <c:pt idx="0">
                  <c:v>1.0332053825580001</c:v>
                </c:pt>
                <c:pt idx="1">
                  <c:v>-2.7554536938909999</c:v>
                </c:pt>
              </c:numCache>
            </c:numRef>
          </c:xVal>
          <c:yVal>
            <c:numRef>
              <c:f>'F-16'!$C$50:$C$51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7-4FEA-9BC7-07FFEB08AADD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'F-16'!$G$50:$G$51</c:f>
              <c:numCache>
                <c:formatCode>0.000000</c:formatCode>
                <c:ptCount val="2"/>
                <c:pt idx="0">
                  <c:v>1.0280100000000001</c:v>
                </c:pt>
                <c:pt idx="1">
                  <c:v>-2.7517499999999999</c:v>
                </c:pt>
              </c:numCache>
            </c:numRef>
          </c:xVal>
          <c:yVal>
            <c:numRef>
              <c:f>'F-16'!$H$50:$H$51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77-4FEA-9BC7-07FFEB08AADD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'F-16'!$B$48:$B$49</c:f>
              <c:numCache>
                <c:formatCode>0.000000</c:formatCode>
                <c:ptCount val="2"/>
                <c:pt idx="0">
                  <c:v>-2.5133867699999998E-3</c:v>
                </c:pt>
                <c:pt idx="1">
                  <c:v>-2.5133867699999998E-3</c:v>
                </c:pt>
              </c:numCache>
            </c:numRef>
          </c:xVal>
          <c:yVal>
            <c:numRef>
              <c:f>'F-16'!$C$48:$C$49</c:f>
              <c:numCache>
                <c:formatCode>0.000000</c:formatCode>
                <c:ptCount val="2"/>
                <c:pt idx="0">
                  <c:v>0.111645844292</c:v>
                </c:pt>
                <c:pt idx="1">
                  <c:v>-0.111645844292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77-4FEA-9BC7-07FFEB08AADD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'F-16'!$G$48:$G$49</c:f>
              <c:numCache>
                <c:formatCode>0.000000</c:formatCode>
                <c:ptCount val="2"/>
                <c:pt idx="0">
                  <c:v>5.66498E-3</c:v>
                </c:pt>
                <c:pt idx="1">
                  <c:v>5.66498E-3</c:v>
                </c:pt>
              </c:numCache>
            </c:numRef>
          </c:xVal>
          <c:yVal>
            <c:numRef>
              <c:f>'F-16'!$H$48:$H$49</c:f>
              <c:numCache>
                <c:formatCode>0.000000</c:formatCode>
                <c:ptCount val="2"/>
                <c:pt idx="0">
                  <c:v>0.11629</c:v>
                </c:pt>
                <c:pt idx="1">
                  <c:v>-0.11629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77-4FEA-9BC7-07FFEB08AADD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'F-16'!$B$53:$B$54</c:f>
              <c:numCache>
                <c:formatCode>0.000000</c:formatCode>
                <c:ptCount val="2"/>
                <c:pt idx="0">
                  <c:v>-0.27681220327200001</c:v>
                </c:pt>
                <c:pt idx="1">
                  <c:v>-0.27681220327200001</c:v>
                </c:pt>
              </c:numCache>
            </c:numRef>
          </c:xVal>
          <c:yVal>
            <c:numRef>
              <c:f>'F-16'!$C$53:$C$54</c:f>
              <c:numCache>
                <c:formatCode>0.000000</c:formatCode>
                <c:ptCount val="2"/>
                <c:pt idx="0">
                  <c:v>3.5671185210090002</c:v>
                </c:pt>
                <c:pt idx="1">
                  <c:v>-3.5671185210090002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77-4FEA-9BC7-07FFEB08AADD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'F-16'!$G$53:$G$54</c:f>
              <c:numCache>
                <c:formatCode>0.000000</c:formatCode>
                <c:ptCount val="2"/>
                <c:pt idx="0">
                  <c:v>-9.0268000000000001E-2</c:v>
                </c:pt>
                <c:pt idx="1">
                  <c:v>-9.0268000000000001E-2</c:v>
                </c:pt>
              </c:numCache>
            </c:numRef>
          </c:xVal>
          <c:yVal>
            <c:numRef>
              <c:f>'F-16'!$H$53:$H$54</c:f>
              <c:numCache>
                <c:formatCode>0.000000</c:formatCode>
                <c:ptCount val="2"/>
                <c:pt idx="0">
                  <c:v>3.3538399999999999</c:v>
                </c:pt>
                <c:pt idx="1">
                  <c:v>-3.3538399999999999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77-4FEA-9BC7-07FFEB08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F-16 -</a:t>
            </a:r>
            <a:r>
              <a:rPr lang="en-US"/>
              <a:t> bank angle = 60.0</a:t>
            </a:r>
            <a:r>
              <a:rPr lang="en-US" baseline="0"/>
              <a:t> -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'F-16'!$B$69:$B$70</c:f>
              <c:numCache>
                <c:formatCode>0.000000</c:formatCode>
                <c:ptCount val="2"/>
                <c:pt idx="0">
                  <c:v>-0.88578392044400001</c:v>
                </c:pt>
                <c:pt idx="1">
                  <c:v>-0.88578392044400001</c:v>
                </c:pt>
              </c:numCache>
            </c:numRef>
          </c:xVal>
          <c:yVal>
            <c:numRef>
              <c:f>'F-16'!$C$69:$C$70</c:f>
              <c:numCache>
                <c:formatCode>0.000000</c:formatCode>
                <c:ptCount val="2"/>
                <c:pt idx="0">
                  <c:v>1.488599618694</c:v>
                </c:pt>
                <c:pt idx="1">
                  <c:v>-1.488599618694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B-40CA-A839-9957540A9662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'F-16'!$G$69:$G$70</c:f>
              <c:numCache>
                <c:formatCode>0.000000</c:formatCode>
                <c:ptCount val="2"/>
                <c:pt idx="0">
                  <c:v>-0.88274399999999997</c:v>
                </c:pt>
                <c:pt idx="1">
                  <c:v>-0.88274399999999997</c:v>
                </c:pt>
              </c:numCache>
            </c:numRef>
          </c:xVal>
          <c:yVal>
            <c:numRef>
              <c:f>'F-16'!$H$69:$H$70</c:f>
              <c:numCache>
                <c:formatCode>0.000000</c:formatCode>
                <c:ptCount val="2"/>
                <c:pt idx="0">
                  <c:v>1.4918800000000001</c:v>
                </c:pt>
                <c:pt idx="1">
                  <c:v>-1.4918800000000001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6B-40CA-A839-9957540A9662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'F-16'!$B$67:$B$68</c:f>
              <c:numCache>
                <c:formatCode>0.000000</c:formatCode>
                <c:ptCount val="2"/>
                <c:pt idx="0">
                  <c:v>6.4489023000000002E-4</c:v>
                </c:pt>
                <c:pt idx="1">
                  <c:v>6.4489023000000002E-4</c:v>
                </c:pt>
              </c:numCache>
            </c:numRef>
          </c:xVal>
          <c:yVal>
            <c:numRef>
              <c:f>'F-16'!$C$67:$C$68</c:f>
              <c:numCache>
                <c:formatCode>0.000000</c:formatCode>
                <c:ptCount val="2"/>
                <c:pt idx="0">
                  <c:v>0.109808738184</c:v>
                </c:pt>
                <c:pt idx="1">
                  <c:v>-0.109808738184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6B-40CA-A839-9957540A9662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'F-16'!$G$67:$G$68</c:f>
              <c:numCache>
                <c:formatCode>0.000000</c:formatCode>
                <c:ptCount val="2"/>
                <c:pt idx="0">
                  <c:v>7.57357E-3</c:v>
                </c:pt>
                <c:pt idx="1">
                  <c:v>7.57357E-3</c:v>
                </c:pt>
              </c:numCache>
            </c:numRef>
          </c:xVal>
          <c:yVal>
            <c:numRef>
              <c:f>'F-16'!$H$67:$H$68</c:f>
              <c:numCache>
                <c:formatCode>0.000000</c:formatCode>
                <c:ptCount val="2"/>
                <c:pt idx="0">
                  <c:v>0.115977</c:v>
                </c:pt>
                <c:pt idx="1">
                  <c:v>-0.115977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6B-40CA-A839-9957540A9662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'F-16'!$B$72:$B$73</c:f>
              <c:numCache>
                <c:formatCode>0.000000</c:formatCode>
                <c:ptCount val="2"/>
                <c:pt idx="0">
                  <c:v>-0.28925938631199999</c:v>
                </c:pt>
                <c:pt idx="1">
                  <c:v>-0.28925938631199999</c:v>
                </c:pt>
              </c:numCache>
            </c:numRef>
          </c:xVal>
          <c:yVal>
            <c:numRef>
              <c:f>'F-16'!$C$72:$C$73</c:f>
              <c:numCache>
                <c:formatCode>0.000000</c:formatCode>
                <c:ptCount val="2"/>
                <c:pt idx="0">
                  <c:v>3.7821941600970002</c:v>
                </c:pt>
                <c:pt idx="1">
                  <c:v>-3.7821941600970002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6B-40CA-A839-9957540A9662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'F-16'!$G$72:$G$73</c:f>
              <c:numCache>
                <c:formatCode>0.000000</c:formatCode>
                <c:ptCount val="2"/>
                <c:pt idx="0">
                  <c:v>-0.10004</c:v>
                </c:pt>
                <c:pt idx="1">
                  <c:v>-0.10004</c:v>
                </c:pt>
              </c:numCache>
            </c:numRef>
          </c:xVal>
          <c:yVal>
            <c:numRef>
              <c:f>'F-16'!$H$72:$H$73</c:f>
              <c:numCache>
                <c:formatCode>0.000000</c:formatCode>
                <c:ptCount val="2"/>
                <c:pt idx="0">
                  <c:v>3.55958</c:v>
                </c:pt>
                <c:pt idx="1">
                  <c:v>-3.55958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6B-40CA-A839-9957540A9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F-16 - Roll/Spiral - bank angle = 0.0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Spiral_new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'F-16'!$B$10</c:f>
              <c:numCache>
                <c:formatCode>0.000000</c:formatCode>
                <c:ptCount val="1"/>
                <c:pt idx="0">
                  <c:v>3.9786942159999996E-3</c:v>
                </c:pt>
              </c:numCache>
            </c:numRef>
          </c:xVal>
          <c:yVal>
            <c:numRef>
              <c:f>'F-16'!$C$10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79-4AC9-983D-8F74C4767BF5}"/>
            </c:ext>
          </c:extLst>
        </c:ser>
        <c:ser>
          <c:idx val="1"/>
          <c:order val="1"/>
          <c:tx>
            <c:v>Spiral_old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'F-16'!$G$10</c:f>
              <c:numCache>
                <c:formatCode>0.000000</c:formatCode>
                <c:ptCount val="1"/>
                <c:pt idx="0">
                  <c:v>6.2032399999999996E-3</c:v>
                </c:pt>
              </c:numCache>
            </c:numRef>
          </c:xVal>
          <c:yVal>
            <c:numRef>
              <c:f>'F-16'!$H$10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79-4AC9-983D-8F74C4767BF5}"/>
            </c:ext>
          </c:extLst>
        </c:ser>
        <c:ser>
          <c:idx val="2"/>
          <c:order val="2"/>
          <c:tx>
            <c:v>Roll_new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'F-16'!$B$15</c:f>
              <c:numCache>
                <c:formatCode>0.000000</c:formatCode>
                <c:ptCount val="1"/>
                <c:pt idx="0">
                  <c:v>-2.2541770496629998</c:v>
                </c:pt>
              </c:numCache>
            </c:numRef>
          </c:xVal>
          <c:yVal>
            <c:numRef>
              <c:f>'F-16'!$C$15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79-4AC9-983D-8F74C4767BF5}"/>
            </c:ext>
          </c:extLst>
        </c:ser>
        <c:ser>
          <c:idx val="3"/>
          <c:order val="3"/>
          <c:tx>
            <c:v>Roll_old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'F-16'!$G$15</c:f>
              <c:numCache>
                <c:formatCode>0.000000</c:formatCode>
                <c:ptCount val="1"/>
                <c:pt idx="0">
                  <c:v>-2.3972600000000002</c:v>
                </c:pt>
              </c:numCache>
            </c:numRef>
          </c:xVal>
          <c:yVal>
            <c:numRef>
              <c:f>'F-16'!$H$15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79-4AC9-983D-8F74C4767BF5}"/>
            </c:ext>
          </c:extLst>
        </c:ser>
        <c:ser>
          <c:idx val="4"/>
          <c:order val="4"/>
          <c:tx>
            <c:v>Spiral_new_cg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'F-16'!$B$29</c:f>
              <c:numCache>
                <c:formatCode>0.000000</c:formatCode>
                <c:ptCount val="1"/>
                <c:pt idx="0">
                  <c:v>4.8457610139999996E-3</c:v>
                </c:pt>
              </c:numCache>
            </c:numRef>
          </c:xVal>
          <c:yVal>
            <c:numRef>
              <c:f>'F-16'!$C$29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79-4AC9-983D-8F74C4767BF5}"/>
            </c:ext>
          </c:extLst>
        </c:ser>
        <c:ser>
          <c:idx val="5"/>
          <c:order val="5"/>
          <c:tx>
            <c:v>Spiral_old_cg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'F-16'!$G$29</c:f>
              <c:numCache>
                <c:formatCode>0.000000</c:formatCode>
                <c:ptCount val="1"/>
                <c:pt idx="0">
                  <c:v>7.3028600000000004E-3</c:v>
                </c:pt>
              </c:numCache>
            </c:numRef>
          </c:xVal>
          <c:yVal>
            <c:numRef>
              <c:f>'F-16'!$H$29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79-4AC9-983D-8F74C4767BF5}"/>
            </c:ext>
          </c:extLst>
        </c:ser>
        <c:ser>
          <c:idx val="6"/>
          <c:order val="6"/>
          <c:tx>
            <c:v>Roll_new_cg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'F-16'!$B$34</c:f>
              <c:numCache>
                <c:formatCode>0.000000</c:formatCode>
                <c:ptCount val="1"/>
                <c:pt idx="0">
                  <c:v>-2.2463506069329999</c:v>
                </c:pt>
              </c:numCache>
            </c:numRef>
          </c:xVal>
          <c:yVal>
            <c:numRef>
              <c:f>'F-16'!$C$34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79-4AC9-983D-8F74C4767BF5}"/>
            </c:ext>
          </c:extLst>
        </c:ser>
        <c:ser>
          <c:idx val="7"/>
          <c:order val="7"/>
          <c:tx>
            <c:v>Roll_old_cg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'F-16'!$G$34</c:f>
              <c:numCache>
                <c:formatCode>0.000000</c:formatCode>
                <c:ptCount val="1"/>
                <c:pt idx="0">
                  <c:v>-2.38951</c:v>
                </c:pt>
              </c:numCache>
            </c:numRef>
          </c:xVal>
          <c:yVal>
            <c:numRef>
              <c:f>'F-16'!$H$34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79-4AC9-983D-8F74C4767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398800"/>
        <c:axId val="2113484448"/>
      </c:scatterChart>
      <c:valAx>
        <c:axId val="2068398800"/>
        <c:scaling>
          <c:orientation val="minMax"/>
          <c:max val="0.5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84448"/>
        <c:crosses val="autoZero"/>
        <c:crossBetween val="midCat"/>
      </c:valAx>
      <c:valAx>
        <c:axId val="211348444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9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F-16 - Roll/Spiral - bank angle = 60.0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Spiral_new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'F-16'!$B$47</c:f>
              <c:numCache>
                <c:formatCode>0.000000</c:formatCode>
                <c:ptCount val="1"/>
                <c:pt idx="0">
                  <c:v>-1.2187708374E-2</c:v>
                </c:pt>
              </c:numCache>
            </c:numRef>
          </c:xVal>
          <c:yVal>
            <c:numRef>
              <c:f>'F-16'!$C$47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4A-42AE-8822-A8DE219CFE36}"/>
            </c:ext>
          </c:extLst>
        </c:ser>
        <c:ser>
          <c:idx val="1"/>
          <c:order val="1"/>
          <c:tx>
            <c:v>Spiral_old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'F-16'!$G$47</c:f>
              <c:numCache>
                <c:formatCode>0.000000</c:formatCode>
                <c:ptCount val="1"/>
                <c:pt idx="0">
                  <c:v>5.4870500000000003E-3</c:v>
                </c:pt>
              </c:numCache>
            </c:numRef>
          </c:xVal>
          <c:yVal>
            <c:numRef>
              <c:f>'F-16'!$H$47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4A-42AE-8822-A8DE219CFE36}"/>
            </c:ext>
          </c:extLst>
        </c:ser>
        <c:ser>
          <c:idx val="2"/>
          <c:order val="2"/>
          <c:tx>
            <c:v>Roll_new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'F-16'!$B$52</c:f>
              <c:numCache>
                <c:formatCode>0.000000</c:formatCode>
                <c:ptCount val="1"/>
                <c:pt idx="0">
                  <c:v>-2.131335745915</c:v>
                </c:pt>
              </c:numCache>
            </c:numRef>
          </c:xVal>
          <c:yVal>
            <c:numRef>
              <c:f>'F-16'!$C$52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4A-42AE-8822-A8DE219CFE36}"/>
            </c:ext>
          </c:extLst>
        </c:ser>
        <c:ser>
          <c:idx val="3"/>
          <c:order val="3"/>
          <c:tx>
            <c:v>Roll_old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'F-16'!$G$52</c:f>
              <c:numCache>
                <c:formatCode>0.000000</c:formatCode>
                <c:ptCount val="1"/>
                <c:pt idx="0">
                  <c:v>-2.4210699999999998</c:v>
                </c:pt>
              </c:numCache>
            </c:numRef>
          </c:xVal>
          <c:yVal>
            <c:numRef>
              <c:f>'F-16'!$H$52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4A-42AE-8822-A8DE219CFE36}"/>
            </c:ext>
          </c:extLst>
        </c:ser>
        <c:ser>
          <c:idx val="4"/>
          <c:order val="4"/>
          <c:tx>
            <c:v>Spiral_new_cg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'F-16'!$B$66</c:f>
              <c:numCache>
                <c:formatCode>0.000000</c:formatCode>
                <c:ptCount val="1"/>
                <c:pt idx="0">
                  <c:v>-1.2120192303E-2</c:v>
                </c:pt>
              </c:numCache>
            </c:numRef>
          </c:xVal>
          <c:yVal>
            <c:numRef>
              <c:f>'F-16'!$C$66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4A-42AE-8822-A8DE219CFE36}"/>
            </c:ext>
          </c:extLst>
        </c:ser>
        <c:ser>
          <c:idx val="5"/>
          <c:order val="5"/>
          <c:tx>
            <c:v>Spiral_old_cg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'F-16'!$G$66</c:f>
              <c:numCache>
                <c:formatCode>0.000000</c:formatCode>
                <c:ptCount val="1"/>
                <c:pt idx="0">
                  <c:v>3.0659099999999998E-3</c:v>
                </c:pt>
              </c:numCache>
            </c:numRef>
          </c:xVal>
          <c:yVal>
            <c:numRef>
              <c:f>'F-16'!$H$66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4A-42AE-8822-A8DE219CFE36}"/>
            </c:ext>
          </c:extLst>
        </c:ser>
        <c:ser>
          <c:idx val="6"/>
          <c:order val="6"/>
          <c:tx>
            <c:v>Roll_new_cg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'F-16'!$B$71</c:f>
              <c:numCache>
                <c:formatCode>0.000000</c:formatCode>
                <c:ptCount val="1"/>
                <c:pt idx="0">
                  <c:v>-2.1216204854140002</c:v>
                </c:pt>
              </c:numCache>
            </c:numRef>
          </c:xVal>
          <c:yVal>
            <c:numRef>
              <c:f>'F-16'!$C$71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E4A-42AE-8822-A8DE219CFE36}"/>
            </c:ext>
          </c:extLst>
        </c:ser>
        <c:ser>
          <c:idx val="7"/>
          <c:order val="7"/>
          <c:tx>
            <c:v>Roll_old_cg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'F-16'!$G$71</c:f>
              <c:numCache>
                <c:formatCode>0.000000</c:formatCode>
                <c:ptCount val="1"/>
                <c:pt idx="0">
                  <c:v>-2.40415</c:v>
                </c:pt>
              </c:numCache>
            </c:numRef>
          </c:xVal>
          <c:yVal>
            <c:numRef>
              <c:f>'F-16'!$H$71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E4A-42AE-8822-A8DE219CF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398800"/>
        <c:axId val="2113484448"/>
      </c:scatterChart>
      <c:valAx>
        <c:axId val="2068398800"/>
        <c:scaling>
          <c:orientation val="minMax"/>
          <c:max val="0.5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84448"/>
        <c:crosses val="autoZero"/>
        <c:crossBetween val="midCat"/>
      </c:valAx>
      <c:valAx>
        <c:axId val="211348444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9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BIRE</a:t>
            </a:r>
            <a:r>
              <a:rPr lang="en-US" baseline="0"/>
              <a:t> -</a:t>
            </a:r>
            <a:r>
              <a:rPr lang="en-US"/>
              <a:t> bank angle = 0.0</a:t>
            </a:r>
            <a:r>
              <a:rPr lang="en-US" baseline="0"/>
              <a:t> - </a:t>
            </a:r>
            <a:r>
              <a:rPr lang="en-US"/>
              <a:t>no</a:t>
            </a:r>
            <a:r>
              <a:rPr lang="en-US" baseline="0"/>
              <a:t>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(BIRE!$B$13,BIRE!$B$14)</c:f>
              <c:numCache>
                <c:formatCode>0.000000</c:formatCode>
                <c:ptCount val="2"/>
                <c:pt idx="0">
                  <c:v>0.75671670668699997</c:v>
                </c:pt>
                <c:pt idx="1">
                  <c:v>-2.4856736154519998</c:v>
                </c:pt>
              </c:numCache>
            </c:numRef>
          </c:xVal>
          <c:yVal>
            <c:numRef>
              <c:f>BIRE!$C$13:$C$14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A-4DC2-A07D-AEB9C24684D1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BIRE!$G$13:$G$14</c:f>
              <c:numCache>
                <c:formatCode>0.000000</c:formatCode>
                <c:ptCount val="2"/>
                <c:pt idx="0">
                  <c:v>0.753305</c:v>
                </c:pt>
                <c:pt idx="1">
                  <c:v>-2.4848300000000001</c:v>
                </c:pt>
              </c:numCache>
            </c:numRef>
          </c:xVal>
          <c:yVal>
            <c:numRef>
              <c:f>BIRE!$H$13:$H$14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A-4DC2-A07D-AEB9C24684D1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BIRE!$B$11:$B$12</c:f>
              <c:numCache>
                <c:formatCode>0.000000</c:formatCode>
                <c:ptCount val="2"/>
                <c:pt idx="0">
                  <c:v>-7.67195615E-3</c:v>
                </c:pt>
                <c:pt idx="1">
                  <c:v>-7.67195615E-3</c:v>
                </c:pt>
              </c:numCache>
            </c:numRef>
          </c:xVal>
          <c:yVal>
            <c:numRef>
              <c:f>BIRE!$C$11:$C$12</c:f>
              <c:numCache>
                <c:formatCode>0.000000</c:formatCode>
                <c:ptCount val="2"/>
                <c:pt idx="0">
                  <c:v>8.3726508707000005E-2</c:v>
                </c:pt>
                <c:pt idx="1">
                  <c:v>-8.3726508707000005E-2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AA-4DC2-A07D-AEB9C24684D1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BIRE!$G$11:$G$12</c:f>
              <c:numCache>
                <c:formatCode>0.000000</c:formatCode>
                <c:ptCount val="2"/>
                <c:pt idx="0">
                  <c:v>-2.8449999999999999E-3</c:v>
                </c:pt>
                <c:pt idx="1">
                  <c:v>-2.8449999999999999E-3</c:v>
                </c:pt>
              </c:numCache>
            </c:numRef>
          </c:xVal>
          <c:yVal>
            <c:numRef>
              <c:f>BIRE!$H$11:$H$12</c:f>
              <c:numCache>
                <c:formatCode>0.000000</c:formatCode>
                <c:ptCount val="2"/>
                <c:pt idx="0">
                  <c:v>9.2843300000000004E-2</c:v>
                </c:pt>
                <c:pt idx="1">
                  <c:v>-9.2843300000000004E-2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AA-4DC2-A07D-AEB9C24684D1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BIRE!$B$16:$B$17</c:f>
              <c:numCache>
                <c:formatCode>0.000000</c:formatCode>
                <c:ptCount val="2"/>
                <c:pt idx="0">
                  <c:v>1.160796789722</c:v>
                </c:pt>
                <c:pt idx="1">
                  <c:v>-1.3006879129460001</c:v>
                </c:pt>
              </c:numCache>
            </c:numRef>
          </c:xVal>
          <c:yVal>
            <c:numRef>
              <c:f>BIRE!$C$16:$C$17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AA-4DC2-A07D-AEB9C24684D1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BIRE!$G$16:$G$17</c:f>
              <c:numCache>
                <c:formatCode>0.000000</c:formatCode>
                <c:ptCount val="2"/>
                <c:pt idx="0">
                  <c:v>1.2178500000000001</c:v>
                </c:pt>
                <c:pt idx="1">
                  <c:v>-1.1327400000000001</c:v>
                </c:pt>
              </c:numCache>
            </c:numRef>
          </c:xVal>
          <c:yVal>
            <c:numRef>
              <c:f>BIRE!$H$16:$H$17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AA-4DC2-A07D-AEB9C2468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BIRE</a:t>
            </a:r>
            <a:r>
              <a:rPr lang="en-US" baseline="0"/>
              <a:t> -</a:t>
            </a:r>
            <a:r>
              <a:rPr lang="en-US"/>
              <a:t> bank angle = 0.0</a:t>
            </a:r>
            <a:r>
              <a:rPr lang="en-US" baseline="0"/>
              <a:t> -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BIRE!$B$32:$B$33</c:f>
              <c:numCache>
                <c:formatCode>0.000000</c:formatCode>
                <c:ptCount val="2"/>
                <c:pt idx="0">
                  <c:v>-0.892267743542</c:v>
                </c:pt>
                <c:pt idx="1">
                  <c:v>-0.892267743542</c:v>
                </c:pt>
              </c:numCache>
            </c:numRef>
          </c:xVal>
          <c:yVal>
            <c:numRef>
              <c:f>BIRE!$C$32:$C$33</c:f>
              <c:numCache>
                <c:formatCode>0.000000</c:formatCode>
                <c:ptCount val="2"/>
                <c:pt idx="0">
                  <c:v>1.825845903392</c:v>
                </c:pt>
                <c:pt idx="1">
                  <c:v>-1.825845903392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BC-42A0-BD47-3F3B4562E589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BIRE!$G$32:$G$33</c:f>
              <c:numCache>
                <c:formatCode>0.000000</c:formatCode>
                <c:ptCount val="2"/>
                <c:pt idx="0">
                  <c:v>-0.89206300000000005</c:v>
                </c:pt>
                <c:pt idx="1">
                  <c:v>-0.89206300000000005</c:v>
                </c:pt>
              </c:numCache>
            </c:numRef>
          </c:xVal>
          <c:yVal>
            <c:numRef>
              <c:f>BIRE!$H$32:$H$33</c:f>
              <c:numCache>
                <c:formatCode>0.000000</c:formatCode>
                <c:ptCount val="2"/>
                <c:pt idx="0">
                  <c:v>1.82738</c:v>
                </c:pt>
                <c:pt idx="1">
                  <c:v>-1.82738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BC-42A0-BD47-3F3B4562E589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BIRE!$B$30:$B$31</c:f>
              <c:numCache>
                <c:formatCode>0.000000</c:formatCode>
                <c:ptCount val="2"/>
                <c:pt idx="0">
                  <c:v>-4.0843674600000001E-3</c:v>
                </c:pt>
                <c:pt idx="1">
                  <c:v>-4.0843674600000001E-3</c:v>
                </c:pt>
              </c:numCache>
            </c:numRef>
          </c:xVal>
          <c:yVal>
            <c:numRef>
              <c:f>BIRE!$C$30:$C$31</c:f>
              <c:numCache>
                <c:formatCode>0.000000</c:formatCode>
                <c:ptCount val="2"/>
                <c:pt idx="0">
                  <c:v>6.4726684923999994E-2</c:v>
                </c:pt>
                <c:pt idx="1">
                  <c:v>-6.4726684923999994E-2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BC-42A0-BD47-3F3B4562E589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BIRE!$G$30:$G$31</c:f>
              <c:numCache>
                <c:formatCode>0.000000</c:formatCode>
                <c:ptCount val="2"/>
                <c:pt idx="0">
                  <c:v>-3.5403700000000003E-4</c:v>
                </c:pt>
                <c:pt idx="1">
                  <c:v>-3.5403700000000003E-4</c:v>
                </c:pt>
              </c:numCache>
            </c:numRef>
          </c:xVal>
          <c:yVal>
            <c:numRef>
              <c:f>BIRE!$H$30:$H$31</c:f>
              <c:numCache>
                <c:formatCode>0.000000</c:formatCode>
                <c:ptCount val="2"/>
                <c:pt idx="0">
                  <c:v>7.1747500000000006E-2</c:v>
                </c:pt>
                <c:pt idx="1">
                  <c:v>-7.1747500000000006E-2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BC-42A0-BD47-3F3B4562E589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BIRE!$B$35:$B$36</c:f>
              <c:numCache>
                <c:formatCode>0.000000</c:formatCode>
                <c:ptCount val="2"/>
                <c:pt idx="0">
                  <c:v>-1.174893605122</c:v>
                </c:pt>
                <c:pt idx="1">
                  <c:v>1.0249608867419999</c:v>
                </c:pt>
              </c:numCache>
            </c:numRef>
          </c:xVal>
          <c:yVal>
            <c:numRef>
              <c:f>BIRE!$C$35:$C$36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BC-42A0-BD47-3F3B4562E589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BIRE!$G$35:$G$36</c:f>
              <c:numCache>
                <c:formatCode>0.000000</c:formatCode>
                <c:ptCount val="2"/>
                <c:pt idx="0">
                  <c:v>-1.0073099999999999</c:v>
                </c:pt>
                <c:pt idx="1">
                  <c:v>1.0900300000000001</c:v>
                </c:pt>
              </c:numCache>
            </c:numRef>
          </c:xVal>
          <c:yVal>
            <c:numRef>
              <c:f>BIRE!$H$35:$H$36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BC-42A0-BD47-3F3B4562E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BIRE</a:t>
            </a:r>
            <a:r>
              <a:rPr lang="en-US" baseline="0"/>
              <a:t> -</a:t>
            </a:r>
            <a:r>
              <a:rPr lang="en-US"/>
              <a:t> bank angle = 60.0</a:t>
            </a:r>
            <a:r>
              <a:rPr lang="en-US" baseline="0"/>
              <a:t> - no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BIRE!$B$50:$B$51</c:f>
              <c:numCache>
                <c:formatCode>0.000000</c:formatCode>
                <c:ptCount val="2"/>
                <c:pt idx="0">
                  <c:v>-2.4639399542509999</c:v>
                </c:pt>
                <c:pt idx="1">
                  <c:v>0.77128265608500002</c:v>
                </c:pt>
              </c:numCache>
            </c:numRef>
          </c:xVal>
          <c:yVal>
            <c:numRef>
              <c:f>BIRE!$C$50:$C$51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9-49CD-AF0B-203774D12846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BIRE!$G$50:$G$51</c:f>
              <c:numCache>
                <c:formatCode>0.000000</c:formatCode>
                <c:ptCount val="2"/>
              </c:numCache>
            </c:numRef>
          </c:xVal>
          <c:yVal>
            <c:numRef>
              <c:f>BIRE!$H$50:$H$51</c:f>
              <c:numCache>
                <c:formatCode>0.000000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9-49CD-AF0B-203774D12846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BIRE!$B$48:$B$49</c:f>
              <c:numCache>
                <c:formatCode>0.000000</c:formatCode>
                <c:ptCount val="2"/>
                <c:pt idx="0">
                  <c:v>-1.9804781860000001E-3</c:v>
                </c:pt>
                <c:pt idx="1">
                  <c:v>-1.9804781860000001E-3</c:v>
                </c:pt>
              </c:numCache>
            </c:numRef>
          </c:xVal>
          <c:yVal>
            <c:numRef>
              <c:f>BIRE!$C$48:$C$49</c:f>
              <c:numCache>
                <c:formatCode>0.000000</c:formatCode>
                <c:ptCount val="2"/>
                <c:pt idx="0">
                  <c:v>0.117459270271</c:v>
                </c:pt>
                <c:pt idx="1">
                  <c:v>-0.117459270271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E9-49CD-AF0B-203774D12846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BIRE!$G$48:$G$49</c:f>
              <c:numCache>
                <c:formatCode>0.000000</c:formatCode>
                <c:ptCount val="2"/>
              </c:numCache>
            </c:numRef>
          </c:xVal>
          <c:yVal>
            <c:numRef>
              <c:f>BIRE!$H$48:$H$49</c:f>
              <c:numCache>
                <c:formatCode>0.000000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E9-49CD-AF0B-203774D12846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BIRE!$B$53:$B$54</c:f>
              <c:numCache>
                <c:formatCode>0.000000</c:formatCode>
                <c:ptCount val="2"/>
                <c:pt idx="0">
                  <c:v>-1.9028342119349999</c:v>
                </c:pt>
                <c:pt idx="1">
                  <c:v>1.028746876904</c:v>
                </c:pt>
              </c:numCache>
            </c:numRef>
          </c:xVal>
          <c:yVal>
            <c:numRef>
              <c:f>BIRE!$C$53:$C$54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E9-49CD-AF0B-203774D12846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BIRE!$G$53:$G$54</c:f>
              <c:numCache>
                <c:formatCode>0.000000</c:formatCode>
                <c:ptCount val="2"/>
              </c:numCache>
            </c:numRef>
          </c:xVal>
          <c:yVal>
            <c:numRef>
              <c:f>BIRE!$H$53:$H$54</c:f>
              <c:numCache>
                <c:formatCode>0.000000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E9-49CD-AF0B-203774D12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BIRE</a:t>
            </a:r>
            <a:r>
              <a:rPr lang="en-US" baseline="0"/>
              <a:t> -</a:t>
            </a:r>
            <a:r>
              <a:rPr lang="en-US"/>
              <a:t> bank angle = 60.0</a:t>
            </a:r>
            <a:r>
              <a:rPr lang="en-US" baseline="0"/>
              <a:t> - CG shift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BIRE!$B$69:$B$70</c:f>
              <c:numCache>
                <c:formatCode>0.000000</c:formatCode>
                <c:ptCount val="2"/>
                <c:pt idx="0">
                  <c:v>-0.86930615121499999</c:v>
                </c:pt>
                <c:pt idx="1">
                  <c:v>-0.86930615121499999</c:v>
                </c:pt>
              </c:numCache>
            </c:numRef>
          </c:xVal>
          <c:yVal>
            <c:numRef>
              <c:f>BIRE!$C$69:$C$70</c:f>
              <c:numCache>
                <c:formatCode>0.000000</c:formatCode>
                <c:ptCount val="2"/>
                <c:pt idx="0">
                  <c:v>1.7474737838759999</c:v>
                </c:pt>
                <c:pt idx="1">
                  <c:v>-1.7474737838759999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7-4F81-85EB-E4386A669590}"/>
            </c:ext>
          </c:extLst>
        </c:ser>
        <c:ser>
          <c:idx val="1"/>
          <c:order val="1"/>
          <c:tx>
            <c:v>SP_old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BIRE!$G$69:$G$70</c:f>
              <c:numCache>
                <c:formatCode>0.000000</c:formatCode>
                <c:ptCount val="2"/>
                <c:pt idx="0">
                  <c:v>-2.45553</c:v>
                </c:pt>
                <c:pt idx="1">
                  <c:v>-2.45553</c:v>
                </c:pt>
              </c:numCache>
            </c:numRef>
          </c:xVal>
          <c:yVal>
            <c:numRef>
              <c:f>BIRE!$H$69:$H$70</c:f>
              <c:numCache>
                <c:formatCode>0.000000</c:formatCode>
                <c:ptCount val="2"/>
                <c:pt idx="0">
                  <c:v>2.0842200000000002E-2</c:v>
                </c:pt>
                <c:pt idx="1">
                  <c:v>2.0842200000000002E-2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E7-4F81-85EB-E4386A669590}"/>
            </c:ext>
          </c:extLst>
        </c:ser>
        <c:ser>
          <c:idx val="2"/>
          <c:order val="2"/>
          <c:tx>
            <c:v>LP_new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5875">
                <a:solidFill>
                  <a:schemeClr val="accent3"/>
                </a:solidFill>
              </a:ln>
              <a:effectLst/>
            </c:spPr>
          </c:marker>
          <c:xVal>
            <c:numRef>
              <c:f>BIRE!$B$67:$B$68</c:f>
              <c:numCache>
                <c:formatCode>0.000000</c:formatCode>
                <c:ptCount val="2"/>
                <c:pt idx="0">
                  <c:v>9.5551847599999998E-4</c:v>
                </c:pt>
                <c:pt idx="1">
                  <c:v>9.5551847599999998E-4</c:v>
                </c:pt>
              </c:numCache>
            </c:numRef>
          </c:xVal>
          <c:yVal>
            <c:numRef>
              <c:f>BIRE!$C$67:$C$68</c:f>
              <c:numCache>
                <c:formatCode>0.000000</c:formatCode>
                <c:ptCount val="2"/>
                <c:pt idx="0">
                  <c:v>0.11814372104400001</c:v>
                </c:pt>
                <c:pt idx="1">
                  <c:v>-0.11814372104400001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E7-4F81-85EB-E4386A669590}"/>
            </c:ext>
          </c:extLst>
        </c:ser>
        <c:ser>
          <c:idx val="3"/>
          <c:order val="3"/>
          <c:tx>
            <c:v>LP_old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BIRE!$G$67:$G$68</c:f>
              <c:numCache>
                <c:formatCode>0.000000</c:formatCode>
                <c:ptCount val="2"/>
                <c:pt idx="0">
                  <c:v>8.2584600000000005E-3</c:v>
                </c:pt>
                <c:pt idx="1">
                  <c:v>8.2584600000000005E-3</c:v>
                </c:pt>
              </c:numCache>
            </c:numRef>
          </c:xVal>
          <c:yVal>
            <c:numRef>
              <c:f>BIRE!$H$67:$H$68</c:f>
              <c:numCache>
                <c:formatCode>0.000000</c:formatCode>
                <c:ptCount val="2"/>
                <c:pt idx="0">
                  <c:v>0.121471</c:v>
                </c:pt>
                <c:pt idx="1">
                  <c:v>-0.121471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E7-4F81-85EB-E4386A669590}"/>
            </c:ext>
          </c:extLst>
        </c:ser>
        <c:ser>
          <c:idx val="4"/>
          <c:order val="4"/>
          <c:tx>
            <c:v>DR_new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BIRE!$B$72:$B$73</c:f>
              <c:numCache>
                <c:formatCode>0.000000</c:formatCode>
                <c:ptCount val="2"/>
                <c:pt idx="0">
                  <c:v>-1.3019404204330001</c:v>
                </c:pt>
                <c:pt idx="1">
                  <c:v>0.85528147397599996</c:v>
                </c:pt>
              </c:numCache>
            </c:numRef>
          </c:xVal>
          <c:yVal>
            <c:numRef>
              <c:f>BIRE!$C$72:$C$73</c:f>
              <c:numCache>
                <c:formatCode>0.000000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E7-4F81-85EB-E4386A669590}"/>
            </c:ext>
          </c:extLst>
        </c:ser>
        <c:ser>
          <c:idx val="5"/>
          <c:order val="5"/>
          <c:tx>
            <c:v>DR_old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BIRE!$G$72:$G$73</c:f>
              <c:numCache>
                <c:formatCode>0.000000</c:formatCode>
                <c:ptCount val="2"/>
              </c:numCache>
            </c:numRef>
          </c:xVal>
          <c:yVal>
            <c:numRef>
              <c:f>BIRE!$H$72:$H$73</c:f>
              <c:numCache>
                <c:formatCode>0.000000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E7-4F81-85EB-E4386A669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54160"/>
        <c:axId val="930226736"/>
      </c:scatterChart>
      <c:valAx>
        <c:axId val="79305416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26736"/>
        <c:crosses val="autoZero"/>
        <c:crossBetween val="midCat"/>
      </c:valAx>
      <c:valAx>
        <c:axId val="9302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5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BIRE - Roll/Spiral - bank angle = 0.0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Spiral_new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BIRE!$B$10</c:f>
              <c:numCache>
                <c:formatCode>0.000000</c:formatCode>
                <c:ptCount val="1"/>
                <c:pt idx="0">
                  <c:v>6.9966301170000002E-3</c:v>
                </c:pt>
              </c:numCache>
            </c:numRef>
          </c:xVal>
          <c:yVal>
            <c:numRef>
              <c:f>BIRE!$C$10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53-41F4-9109-A6D563A609DA}"/>
            </c:ext>
          </c:extLst>
        </c:ser>
        <c:ser>
          <c:idx val="1"/>
          <c:order val="1"/>
          <c:tx>
            <c:v>Spiral_old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BIRE!$G$10</c:f>
              <c:numCache>
                <c:formatCode>0.000000</c:formatCode>
                <c:ptCount val="1"/>
                <c:pt idx="0">
                  <c:v>9.5727399999999997E-3</c:v>
                </c:pt>
              </c:numCache>
            </c:numRef>
          </c:xVal>
          <c:yVal>
            <c:numRef>
              <c:f>BIRE!$H$10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53-41F4-9109-A6D563A609DA}"/>
            </c:ext>
          </c:extLst>
        </c:ser>
        <c:ser>
          <c:idx val="2"/>
          <c:order val="2"/>
          <c:tx>
            <c:v>Roll_new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BIRE!$B$15</c:f>
              <c:numCache>
                <c:formatCode>0.000000</c:formatCode>
                <c:ptCount val="1"/>
                <c:pt idx="0">
                  <c:v>-2.2146364884579999</c:v>
                </c:pt>
              </c:numCache>
            </c:numRef>
          </c:xVal>
          <c:yVal>
            <c:numRef>
              <c:f>BIRE!$C$15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53-41F4-9109-A6D563A609DA}"/>
            </c:ext>
          </c:extLst>
        </c:ser>
        <c:ser>
          <c:idx val="3"/>
          <c:order val="3"/>
          <c:tx>
            <c:v>Roll_old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BIRE!$G$15</c:f>
              <c:numCache>
                <c:formatCode>0.000000</c:formatCode>
                <c:ptCount val="1"/>
                <c:pt idx="0">
                  <c:v>-2.42876</c:v>
                </c:pt>
              </c:numCache>
            </c:numRef>
          </c:xVal>
          <c:yVal>
            <c:numRef>
              <c:f>BIRE!$H$15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53-41F4-9109-A6D563A609DA}"/>
            </c:ext>
          </c:extLst>
        </c:ser>
        <c:ser>
          <c:idx val="4"/>
          <c:order val="4"/>
          <c:tx>
            <c:v>Spiral_new_cg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BIRE!$B$29</c:f>
              <c:numCache>
                <c:formatCode>0.000000</c:formatCode>
                <c:ptCount val="1"/>
                <c:pt idx="0">
                  <c:v>7.5281656370000003E-3</c:v>
                </c:pt>
              </c:numCache>
            </c:numRef>
          </c:xVal>
          <c:yVal>
            <c:numRef>
              <c:f>BIRE!$C$29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53-41F4-9109-A6D563A609DA}"/>
            </c:ext>
          </c:extLst>
        </c:ser>
        <c:ser>
          <c:idx val="5"/>
          <c:order val="5"/>
          <c:tx>
            <c:v>Spiral_old_cg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BIRE!$G$29</c:f>
              <c:numCache>
                <c:formatCode>0.000000</c:formatCode>
                <c:ptCount val="1"/>
                <c:pt idx="0">
                  <c:v>1.0442E-2</c:v>
                </c:pt>
              </c:numCache>
            </c:numRef>
          </c:xVal>
          <c:yVal>
            <c:numRef>
              <c:f>BIRE!$H$29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53-41F4-9109-A6D563A609DA}"/>
            </c:ext>
          </c:extLst>
        </c:ser>
        <c:ser>
          <c:idx val="6"/>
          <c:order val="6"/>
          <c:tx>
            <c:v>Roll_new_cg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BIRE!$B$34</c:f>
              <c:numCache>
                <c:formatCode>0.000000</c:formatCode>
                <c:ptCount val="1"/>
                <c:pt idx="0">
                  <c:v>-2.2045521628019999</c:v>
                </c:pt>
              </c:numCache>
            </c:numRef>
          </c:xVal>
          <c:yVal>
            <c:numRef>
              <c:f>BIRE!$C$34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853-41F4-9109-A6D563A609DA}"/>
            </c:ext>
          </c:extLst>
        </c:ser>
        <c:ser>
          <c:idx val="7"/>
          <c:order val="7"/>
          <c:tx>
            <c:v>Roll_old_cg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BIRE!$G$34</c:f>
              <c:numCache>
                <c:formatCode>0.000000</c:formatCode>
                <c:ptCount val="1"/>
                <c:pt idx="0">
                  <c:v>-2.4241899999999998</c:v>
                </c:pt>
              </c:numCache>
            </c:numRef>
          </c:xVal>
          <c:yVal>
            <c:numRef>
              <c:f>BIRE!$H$34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53-41F4-9109-A6D563A60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398800"/>
        <c:axId val="2113484448"/>
      </c:scatterChart>
      <c:valAx>
        <c:axId val="2068398800"/>
        <c:scaling>
          <c:orientation val="minMax"/>
          <c:max val="0.5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84448"/>
        <c:crosses val="autoZero"/>
        <c:crossBetween val="midCat"/>
      </c:valAx>
      <c:valAx>
        <c:axId val="211348444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9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BIRE - Roll/Spiral - bank angle = 60.0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Spiral_new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BIRE!$B$47</c:f>
              <c:numCache>
                <c:formatCode>0.000000</c:formatCode>
                <c:ptCount val="1"/>
                <c:pt idx="0">
                  <c:v>-1.0707821245000001E-2</c:v>
                </c:pt>
              </c:numCache>
            </c:numRef>
          </c:xVal>
          <c:yVal>
            <c:numRef>
              <c:f>BIRE!$C$47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8-4787-8C4F-F0FF8F4FE91B}"/>
            </c:ext>
          </c:extLst>
        </c:ser>
        <c:ser>
          <c:idx val="1"/>
          <c:order val="1"/>
          <c:tx>
            <c:v>Spiral_old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BIRE!$G$47</c:f>
              <c:numCache>
                <c:formatCode>0.000000</c:formatCode>
                <c:ptCount val="1"/>
              </c:numCache>
            </c:numRef>
          </c:xVal>
          <c:yVal>
            <c:numRef>
              <c:f>BIRE!$H$47</c:f>
              <c:numCache>
                <c:formatCode>0.000000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C8-4787-8C4F-F0FF8F4FE91B}"/>
            </c:ext>
          </c:extLst>
        </c:ser>
        <c:ser>
          <c:idx val="2"/>
          <c:order val="2"/>
          <c:tx>
            <c:v>Roll_new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BIRE!$B$52</c:f>
              <c:numCache>
                <c:formatCode>0.000000</c:formatCode>
                <c:ptCount val="1"/>
                <c:pt idx="0">
                  <c:v>-1.4827988419160001</c:v>
                </c:pt>
              </c:numCache>
            </c:numRef>
          </c:xVal>
          <c:yVal>
            <c:numRef>
              <c:f>BIRE!$C$52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C8-4787-8C4F-F0FF8F4FE91B}"/>
            </c:ext>
          </c:extLst>
        </c:ser>
        <c:ser>
          <c:idx val="3"/>
          <c:order val="3"/>
          <c:tx>
            <c:v>Roll_old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BIRE!$G$52</c:f>
              <c:numCache>
                <c:formatCode>0.000000</c:formatCode>
                <c:ptCount val="1"/>
              </c:numCache>
            </c:numRef>
          </c:xVal>
          <c:yVal>
            <c:numRef>
              <c:f>BIRE!$H$52</c:f>
              <c:numCache>
                <c:formatCode>0.000000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C8-4787-8C4F-F0FF8F4FE91B}"/>
            </c:ext>
          </c:extLst>
        </c:ser>
        <c:ser>
          <c:idx val="4"/>
          <c:order val="4"/>
          <c:tx>
            <c:v>Spiral_new_cg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BIRE!$B$66</c:f>
              <c:numCache>
                <c:formatCode>0.000000</c:formatCode>
                <c:ptCount val="1"/>
                <c:pt idx="0">
                  <c:v>-9.5797250390000002E-3</c:v>
                </c:pt>
              </c:numCache>
            </c:numRef>
          </c:xVal>
          <c:yVal>
            <c:numRef>
              <c:f>BIRE!$C$66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C8-4787-8C4F-F0FF8F4FE91B}"/>
            </c:ext>
          </c:extLst>
        </c:ser>
        <c:ser>
          <c:idx val="5"/>
          <c:order val="5"/>
          <c:tx>
            <c:v>Spiral_old_cg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BIRE!$G$66</c:f>
              <c:numCache>
                <c:formatCode>0.000000</c:formatCode>
                <c:ptCount val="1"/>
              </c:numCache>
            </c:numRef>
          </c:xVal>
          <c:yVal>
            <c:numRef>
              <c:f>BIRE!$H$66</c:f>
              <c:numCache>
                <c:formatCode>0.000000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C8-4787-8C4F-F0FF8F4FE91B}"/>
            </c:ext>
          </c:extLst>
        </c:ser>
        <c:ser>
          <c:idx val="6"/>
          <c:order val="6"/>
          <c:tx>
            <c:v>Roll_new_cg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BIRE!$B$71</c:f>
              <c:numCache>
                <c:formatCode>0.000000</c:formatCode>
                <c:ptCount val="1"/>
                <c:pt idx="0">
                  <c:v>-1.913309516265</c:v>
                </c:pt>
              </c:numCache>
            </c:numRef>
          </c:xVal>
          <c:yVal>
            <c:numRef>
              <c:f>BIRE!$C$71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C8-4787-8C4F-F0FF8F4FE91B}"/>
            </c:ext>
          </c:extLst>
        </c:ser>
        <c:ser>
          <c:idx val="7"/>
          <c:order val="7"/>
          <c:tx>
            <c:v>Roll_old_cg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905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BIRE!$G$71</c:f>
              <c:numCache>
                <c:formatCode>0.000000</c:formatCode>
                <c:ptCount val="1"/>
              </c:numCache>
            </c:numRef>
          </c:xVal>
          <c:yVal>
            <c:numRef>
              <c:f>BIRE!$H$71</c:f>
              <c:numCache>
                <c:formatCode>0.000000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C8-4787-8C4F-F0FF8F4FE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398800"/>
        <c:axId val="2113484448"/>
      </c:scatterChart>
      <c:valAx>
        <c:axId val="2068398800"/>
        <c:scaling>
          <c:orientation val="minMax"/>
          <c:max val="0.5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84448"/>
        <c:crosses val="autoZero"/>
        <c:crossBetween val="midCat"/>
      </c:valAx>
      <c:valAx>
        <c:axId val="211348444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Imaginary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9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0</xdr:row>
      <xdr:rowOff>110377</xdr:rowOff>
    </xdr:from>
    <xdr:to>
      <xdr:col>23</xdr:col>
      <xdr:colOff>321652</xdr:colOff>
      <xdr:row>18</xdr:row>
      <xdr:rowOff>138952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97D9B-AB99-4D75-955E-4A5E53068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22410</xdr:rowOff>
    </xdr:from>
    <xdr:to>
      <xdr:col>23</xdr:col>
      <xdr:colOff>312127</xdr:colOff>
      <xdr:row>38</xdr:row>
      <xdr:rowOff>50985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BE6D1-BE15-46FF-81B0-F71023F58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23</xdr:col>
      <xdr:colOff>312127</xdr:colOff>
      <xdr:row>58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0C450-C5ED-4740-B8CD-2EA3E89B7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59</xdr:row>
      <xdr:rowOff>44822</xdr:rowOff>
    </xdr:from>
    <xdr:to>
      <xdr:col>23</xdr:col>
      <xdr:colOff>312127</xdr:colOff>
      <xdr:row>77</xdr:row>
      <xdr:rowOff>73397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7F75FB-3566-4AF6-9F65-1632CDA43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243168</xdr:colOff>
      <xdr:row>73</xdr:row>
      <xdr:rowOff>129933</xdr:rowOff>
    </xdr:from>
    <xdr:to>
      <xdr:col>7</xdr:col>
      <xdr:colOff>534241</xdr:colOff>
      <xdr:row>91</xdr:row>
      <xdr:rowOff>47065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B8B400-126C-A30E-462D-F0107E9C3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627530</xdr:colOff>
      <xdr:row>73</xdr:row>
      <xdr:rowOff>145677</xdr:rowOff>
    </xdr:from>
    <xdr:to>
      <xdr:col>15</xdr:col>
      <xdr:colOff>246249</xdr:colOff>
      <xdr:row>91</xdr:row>
      <xdr:rowOff>62809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D4DFBB-4734-47AC-9222-2D1E96CD6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2</xdr:row>
      <xdr:rowOff>142874</xdr:rowOff>
    </xdr:from>
    <xdr:to>
      <xdr:col>22</xdr:col>
      <xdr:colOff>581025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008F9-113B-AC99-CC6B-A75353587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276225</xdr:colOff>
      <xdr:row>21</xdr:row>
      <xdr:rowOff>28575</xdr:rowOff>
    </xdr:from>
    <xdr:to>
      <xdr:col>22</xdr:col>
      <xdr:colOff>600075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D2D74-6032-4F5A-8B87-9B8486708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313765</xdr:colOff>
      <xdr:row>39</xdr:row>
      <xdr:rowOff>179294</xdr:rowOff>
    </xdr:from>
    <xdr:to>
      <xdr:col>23</xdr:col>
      <xdr:colOff>32497</xdr:colOff>
      <xdr:row>58</xdr:row>
      <xdr:rowOff>17369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E569D3-F569-4BD5-A9CE-07A364F0F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307731</xdr:colOff>
      <xdr:row>58</xdr:row>
      <xdr:rowOff>117230</xdr:rowOff>
    </xdr:from>
    <xdr:to>
      <xdr:col>23</xdr:col>
      <xdr:colOff>26463</xdr:colOff>
      <xdr:row>76</xdr:row>
      <xdr:rowOff>145805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61AA33-86EB-4CAC-B904-D8A72BAA3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717177</xdr:colOff>
      <xdr:row>74</xdr:row>
      <xdr:rowOff>168088</xdr:rowOff>
    </xdr:from>
    <xdr:to>
      <xdr:col>7</xdr:col>
      <xdr:colOff>436750</xdr:colOff>
      <xdr:row>92</xdr:row>
      <xdr:rowOff>85220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96FF0-B360-4A2D-BE75-65E394877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1024759</xdr:colOff>
      <xdr:row>74</xdr:row>
      <xdr:rowOff>177362</xdr:rowOff>
    </xdr:from>
    <xdr:to>
      <xdr:col>15</xdr:col>
      <xdr:colOff>298801</xdr:colOff>
      <xdr:row>92</xdr:row>
      <xdr:rowOff>94494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E89803-A21D-44ED-A676-1226378F0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1E1A-1274-4A0A-ABDC-B9C173AE805C}">
  <dimension ref="A1:AC30"/>
  <sheetViews>
    <sheetView workbookViewId="0">
      <selection activeCell="J7" sqref="J7"/>
    </sheetView>
  </sheetViews>
  <sheetFormatPr defaultRowHeight="15" x14ac:dyDescent="0.25"/>
  <cols>
    <col min="12" max="12" width="9.140625" style="46"/>
    <col min="20" max="20" width="20.28515625" bestFit="1" customWidth="1"/>
  </cols>
  <sheetData>
    <row r="1" spans="1:29" x14ac:dyDescent="0.25">
      <c r="A1" s="47" t="s">
        <v>124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N1" s="47" t="s">
        <v>125</v>
      </c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9" x14ac:dyDescent="0.25">
      <c r="A2" s="65" t="s">
        <v>95</v>
      </c>
      <c r="B2" s="65"/>
      <c r="C2" s="65"/>
      <c r="D2" s="65"/>
      <c r="E2" s="65"/>
      <c r="G2" s="65" t="s">
        <v>121</v>
      </c>
      <c r="H2" s="65"/>
      <c r="I2" s="65"/>
      <c r="J2" s="65"/>
      <c r="K2" s="65"/>
      <c r="N2" s="65" t="s">
        <v>95</v>
      </c>
      <c r="O2" s="65"/>
      <c r="P2" s="65"/>
      <c r="Q2" s="65"/>
      <c r="R2" s="65"/>
      <c r="T2" s="65" t="s">
        <v>121</v>
      </c>
      <c r="U2" s="65"/>
      <c r="V2" s="65"/>
      <c r="W2" s="65"/>
      <c r="X2" s="65"/>
    </row>
    <row r="3" spans="1:29" x14ac:dyDescent="0.25">
      <c r="A3" t="s">
        <v>71</v>
      </c>
      <c r="B3" t="s">
        <v>72</v>
      </c>
      <c r="C3" t="s">
        <v>73</v>
      </c>
      <c r="D3" t="s">
        <v>71</v>
      </c>
      <c r="N3" t="s">
        <v>71</v>
      </c>
      <c r="O3" t="s">
        <v>72</v>
      </c>
      <c r="P3" t="s">
        <v>73</v>
      </c>
      <c r="Q3" t="s">
        <v>71</v>
      </c>
    </row>
    <row r="4" spans="1:29" x14ac:dyDescent="0.25">
      <c r="A4" t="s">
        <v>74</v>
      </c>
      <c r="B4" t="s">
        <v>75</v>
      </c>
      <c r="C4" t="s">
        <v>76</v>
      </c>
      <c r="D4">
        <v>2.9127729121699999</v>
      </c>
      <c r="G4" t="s">
        <v>96</v>
      </c>
      <c r="H4" t="s">
        <v>97</v>
      </c>
      <c r="I4" s="20">
        <v>2.9127730000000001</v>
      </c>
      <c r="N4" t="s">
        <v>74</v>
      </c>
      <c r="O4" t="s">
        <v>75</v>
      </c>
      <c r="P4" t="s">
        <v>76</v>
      </c>
      <c r="Q4">
        <v>2.8735022562400001</v>
      </c>
      <c r="T4" t="s">
        <v>96</v>
      </c>
      <c r="U4" t="s">
        <v>97</v>
      </c>
      <c r="V4" s="20">
        <v>2.8735019999999998</v>
      </c>
    </row>
    <row r="5" spans="1:29" x14ac:dyDescent="0.25">
      <c r="A5" t="s">
        <v>77</v>
      </c>
      <c r="B5" t="s">
        <v>75</v>
      </c>
      <c r="C5" t="s">
        <v>76</v>
      </c>
      <c r="D5">
        <v>0</v>
      </c>
      <c r="G5" t="s">
        <v>98</v>
      </c>
      <c r="H5" t="s">
        <v>97</v>
      </c>
      <c r="I5" s="20">
        <v>0</v>
      </c>
      <c r="N5" t="s">
        <v>77</v>
      </c>
      <c r="O5" t="s">
        <v>75</v>
      </c>
      <c r="P5" t="s">
        <v>76</v>
      </c>
      <c r="Q5">
        <v>0</v>
      </c>
      <c r="T5" t="s">
        <v>98</v>
      </c>
      <c r="U5" t="s">
        <v>97</v>
      </c>
      <c r="V5" s="20">
        <v>0</v>
      </c>
    </row>
    <row r="6" spans="1:29" x14ac:dyDescent="0.25">
      <c r="A6" t="s">
        <v>78</v>
      </c>
      <c r="B6" t="s">
        <v>75</v>
      </c>
      <c r="C6" t="s">
        <v>76</v>
      </c>
      <c r="D6">
        <v>2.9127729121699999</v>
      </c>
      <c r="G6" t="s">
        <v>99</v>
      </c>
      <c r="H6" t="s">
        <v>97</v>
      </c>
      <c r="I6" s="20">
        <v>2.9127730000000001</v>
      </c>
      <c r="N6" t="s">
        <v>78</v>
      </c>
      <c r="O6" t="s">
        <v>75</v>
      </c>
      <c r="P6" t="s">
        <v>76</v>
      </c>
      <c r="Q6">
        <v>2.8735022562400001</v>
      </c>
      <c r="T6" t="s">
        <v>99</v>
      </c>
      <c r="U6" t="s">
        <v>97</v>
      </c>
      <c r="V6" s="20">
        <v>2.8735019999999998</v>
      </c>
    </row>
    <row r="7" spans="1:29" x14ac:dyDescent="0.25">
      <c r="A7" t="s">
        <v>79</v>
      </c>
      <c r="B7" t="s">
        <v>75</v>
      </c>
      <c r="C7" t="s">
        <v>76</v>
      </c>
      <c r="D7">
        <v>0</v>
      </c>
      <c r="G7" t="s">
        <v>100</v>
      </c>
      <c r="H7" t="s">
        <v>97</v>
      </c>
      <c r="I7" s="20">
        <v>0</v>
      </c>
      <c r="N7" t="s">
        <v>79</v>
      </c>
      <c r="O7" t="s">
        <v>75</v>
      </c>
      <c r="P7" t="s">
        <v>76</v>
      </c>
      <c r="Q7">
        <v>0</v>
      </c>
      <c r="T7" t="s">
        <v>100</v>
      </c>
      <c r="U7" t="s">
        <v>97</v>
      </c>
      <c r="V7" s="20">
        <v>0</v>
      </c>
    </row>
    <row r="8" spans="1:29" x14ac:dyDescent="0.25">
      <c r="A8" t="s">
        <v>80</v>
      </c>
      <c r="B8" t="s">
        <v>81</v>
      </c>
      <c r="C8" t="s">
        <v>76</v>
      </c>
      <c r="D8">
        <v>0</v>
      </c>
      <c r="G8" t="s">
        <v>101</v>
      </c>
      <c r="H8" t="s">
        <v>97</v>
      </c>
      <c r="I8" s="20">
        <v>0</v>
      </c>
      <c r="N8" t="s">
        <v>80</v>
      </c>
      <c r="O8" t="s">
        <v>81</v>
      </c>
      <c r="P8" t="s">
        <v>76</v>
      </c>
      <c r="Q8">
        <v>0</v>
      </c>
      <c r="T8" t="s">
        <v>101</v>
      </c>
      <c r="U8" t="s">
        <v>97</v>
      </c>
      <c r="V8" s="20">
        <v>0</v>
      </c>
      <c r="AC8" s="45"/>
    </row>
    <row r="9" spans="1:29" x14ac:dyDescent="0.25">
      <c r="A9" t="s">
        <v>82</v>
      </c>
      <c r="B9" t="s">
        <v>81</v>
      </c>
      <c r="C9" t="s">
        <v>76</v>
      </c>
      <c r="D9">
        <v>0</v>
      </c>
      <c r="G9" t="s">
        <v>102</v>
      </c>
      <c r="H9" t="s">
        <v>97</v>
      </c>
      <c r="I9" s="20">
        <v>0</v>
      </c>
      <c r="N9" t="s">
        <v>82</v>
      </c>
      <c r="O9" t="s">
        <v>81</v>
      </c>
      <c r="P9" t="s">
        <v>76</v>
      </c>
      <c r="Q9">
        <v>0</v>
      </c>
      <c r="T9" t="s">
        <v>102</v>
      </c>
      <c r="U9" t="s">
        <v>97</v>
      </c>
      <c r="V9" s="20">
        <v>0</v>
      </c>
      <c r="AC9" s="45"/>
    </row>
    <row r="10" spans="1:29" x14ac:dyDescent="0.25">
      <c r="A10" t="s">
        <v>83</v>
      </c>
      <c r="B10" t="s">
        <v>81</v>
      </c>
      <c r="C10" t="s">
        <v>76</v>
      </c>
      <c r="D10">
        <v>0</v>
      </c>
      <c r="G10" t="s">
        <v>103</v>
      </c>
      <c r="H10" t="s">
        <v>97</v>
      </c>
      <c r="I10" s="20">
        <v>0</v>
      </c>
      <c r="N10" t="s">
        <v>83</v>
      </c>
      <c r="O10" t="s">
        <v>81</v>
      </c>
      <c r="P10" t="s">
        <v>76</v>
      </c>
      <c r="Q10">
        <v>0</v>
      </c>
      <c r="T10" t="s">
        <v>103</v>
      </c>
      <c r="U10" t="s">
        <v>97</v>
      </c>
      <c r="V10" s="20">
        <v>0</v>
      </c>
      <c r="AC10" s="45"/>
    </row>
    <row r="11" spans="1:29" x14ac:dyDescent="0.25">
      <c r="A11" t="s">
        <v>84</v>
      </c>
      <c r="B11" t="s">
        <v>75</v>
      </c>
      <c r="C11" t="s">
        <v>76</v>
      </c>
      <c r="D11">
        <v>0</v>
      </c>
      <c r="G11" t="s">
        <v>104</v>
      </c>
      <c r="H11" t="s">
        <v>97</v>
      </c>
      <c r="I11" s="20">
        <v>0</v>
      </c>
      <c r="N11" t="s">
        <v>84</v>
      </c>
      <c r="O11" t="s">
        <v>75</v>
      </c>
      <c r="P11" t="s">
        <v>76</v>
      </c>
      <c r="Q11">
        <v>0</v>
      </c>
      <c r="T11" t="s">
        <v>104</v>
      </c>
      <c r="U11" t="s">
        <v>97</v>
      </c>
      <c r="V11" s="20">
        <v>0</v>
      </c>
      <c r="AC11" s="45"/>
    </row>
    <row r="12" spans="1:29" x14ac:dyDescent="0.25">
      <c r="A12" t="s">
        <v>85</v>
      </c>
      <c r="B12" t="s">
        <v>75</v>
      </c>
      <c r="C12" t="s">
        <v>76</v>
      </c>
      <c r="D12" s="20">
        <v>-1.8396287977000001</v>
      </c>
      <c r="G12" t="s">
        <v>105</v>
      </c>
      <c r="H12" t="s">
        <v>97</v>
      </c>
      <c r="I12" s="20">
        <v>-1.839629</v>
      </c>
      <c r="N12" t="s">
        <v>85</v>
      </c>
      <c r="O12" t="s">
        <v>75</v>
      </c>
      <c r="P12" t="s">
        <v>76</v>
      </c>
      <c r="Q12" s="20">
        <v>-1.60158898737</v>
      </c>
      <c r="T12" t="s">
        <v>105</v>
      </c>
      <c r="U12" t="s">
        <v>97</v>
      </c>
      <c r="V12" s="20">
        <v>-1.6015889999999999</v>
      </c>
      <c r="AC12" s="45"/>
    </row>
    <row r="13" spans="1:29" x14ac:dyDescent="0.25">
      <c r="A13" t="s">
        <v>86</v>
      </c>
      <c r="B13" t="s">
        <v>75</v>
      </c>
      <c r="C13" t="s">
        <v>76</v>
      </c>
      <c r="D13">
        <v>0</v>
      </c>
      <c r="G13" t="s">
        <v>106</v>
      </c>
      <c r="H13" t="s">
        <v>97</v>
      </c>
      <c r="I13" s="20">
        <v>0</v>
      </c>
      <c r="N13" t="s">
        <v>86</v>
      </c>
      <c r="O13" t="s">
        <v>75</v>
      </c>
      <c r="P13" t="s">
        <v>76</v>
      </c>
      <c r="Q13">
        <v>0</v>
      </c>
      <c r="T13" t="s">
        <v>106</v>
      </c>
      <c r="U13" t="s">
        <v>97</v>
      </c>
      <c r="V13" s="20">
        <v>0</v>
      </c>
      <c r="AC13" s="45"/>
    </row>
    <row r="14" spans="1:29" x14ac:dyDescent="0.25">
      <c r="A14" t="s">
        <v>87</v>
      </c>
      <c r="C14" t="s">
        <v>76</v>
      </c>
      <c r="D14">
        <v>0.102182096387</v>
      </c>
      <c r="G14" t="s">
        <v>107</v>
      </c>
      <c r="H14" t="s">
        <v>97</v>
      </c>
      <c r="I14" s="20">
        <v>0.1021822</v>
      </c>
      <c r="N14" t="s">
        <v>87</v>
      </c>
      <c r="P14" t="s">
        <v>76</v>
      </c>
      <c r="Q14">
        <v>9.9527272323199995E-2</v>
      </c>
      <c r="T14" t="s">
        <v>107</v>
      </c>
      <c r="U14" t="s">
        <v>97</v>
      </c>
      <c r="V14" s="20">
        <v>9.9527340000000006E-2</v>
      </c>
      <c r="AC14" s="45"/>
    </row>
    <row r="15" spans="1:29" x14ac:dyDescent="0.25">
      <c r="A15" t="s">
        <v>88</v>
      </c>
      <c r="B15" t="s">
        <v>89</v>
      </c>
      <c r="C15" t="s">
        <v>76</v>
      </c>
      <c r="D15">
        <v>2046.7506813607899</v>
      </c>
      <c r="N15" t="s">
        <v>88</v>
      </c>
      <c r="O15" t="s">
        <v>89</v>
      </c>
      <c r="P15" t="s">
        <v>76</v>
      </c>
      <c r="Q15">
        <v>1993.5734306101001</v>
      </c>
      <c r="AC15" s="45"/>
    </row>
    <row r="16" spans="1:29" x14ac:dyDescent="0.25">
      <c r="A16" t="s">
        <v>90</v>
      </c>
      <c r="B16" t="s">
        <v>91</v>
      </c>
      <c r="C16" t="s">
        <v>76</v>
      </c>
      <c r="D16">
        <v>1</v>
      </c>
      <c r="N16" t="s">
        <v>90</v>
      </c>
      <c r="O16" t="s">
        <v>91</v>
      </c>
      <c r="P16" t="s">
        <v>76</v>
      </c>
      <c r="Q16">
        <v>1</v>
      </c>
      <c r="AC16" s="45"/>
    </row>
    <row r="17" spans="1:29" x14ac:dyDescent="0.25">
      <c r="A17" t="s">
        <v>90</v>
      </c>
      <c r="B17" t="s">
        <v>91</v>
      </c>
      <c r="C17" t="s">
        <v>76</v>
      </c>
      <c r="D17">
        <v>0.99492649616999995</v>
      </c>
      <c r="G17" t="s">
        <v>65</v>
      </c>
      <c r="H17" t="s">
        <v>66</v>
      </c>
      <c r="I17" t="s">
        <v>108</v>
      </c>
      <c r="J17" t="s">
        <v>109</v>
      </c>
      <c r="K17" t="s">
        <v>110</v>
      </c>
      <c r="N17" t="s">
        <v>90</v>
      </c>
      <c r="O17" t="s">
        <v>91</v>
      </c>
      <c r="P17" t="s">
        <v>76</v>
      </c>
      <c r="Q17">
        <v>0.99524095536000001</v>
      </c>
      <c r="T17" t="s">
        <v>65</v>
      </c>
      <c r="U17" t="s">
        <v>66</v>
      </c>
      <c r="V17" t="s">
        <v>108</v>
      </c>
      <c r="W17" t="s">
        <v>109</v>
      </c>
      <c r="X17" t="s">
        <v>110</v>
      </c>
      <c r="AC17" s="45"/>
    </row>
    <row r="18" spans="1:29" x14ac:dyDescent="0.25">
      <c r="A18" t="s">
        <v>92</v>
      </c>
      <c r="B18" t="s">
        <v>93</v>
      </c>
      <c r="C18" t="s">
        <v>76</v>
      </c>
      <c r="D18">
        <v>45</v>
      </c>
      <c r="G18" t="s">
        <v>111</v>
      </c>
      <c r="H18" t="s">
        <v>97</v>
      </c>
      <c r="I18">
        <v>633.18090800000004</v>
      </c>
      <c r="N18" t="s">
        <v>92</v>
      </c>
      <c r="O18" t="s">
        <v>93</v>
      </c>
      <c r="P18" t="s">
        <v>76</v>
      </c>
      <c r="Q18">
        <v>45</v>
      </c>
      <c r="T18" t="s">
        <v>111</v>
      </c>
      <c r="U18" t="s">
        <v>97</v>
      </c>
      <c r="V18">
        <v>633.20281999999997</v>
      </c>
      <c r="AC18" s="45"/>
    </row>
    <row r="19" spans="1:29" x14ac:dyDescent="0.25">
      <c r="G19" t="s">
        <v>112</v>
      </c>
      <c r="H19" t="s">
        <v>97</v>
      </c>
      <c r="I19">
        <v>0</v>
      </c>
      <c r="T19" t="s">
        <v>112</v>
      </c>
      <c r="U19" t="s">
        <v>97</v>
      </c>
      <c r="V19">
        <v>0</v>
      </c>
      <c r="AB19" s="45"/>
    </row>
    <row r="20" spans="1:29" x14ac:dyDescent="0.25">
      <c r="G20" t="s">
        <v>113</v>
      </c>
      <c r="H20" t="s">
        <v>97</v>
      </c>
      <c r="I20">
        <v>32.217078999999998</v>
      </c>
      <c r="T20" t="s">
        <v>113</v>
      </c>
      <c r="U20" t="s">
        <v>97</v>
      </c>
      <c r="V20">
        <v>31.783089</v>
      </c>
      <c r="AB20" s="45"/>
    </row>
    <row r="21" spans="1:29" x14ac:dyDescent="0.25">
      <c r="G21" t="s">
        <v>80</v>
      </c>
      <c r="H21" t="s">
        <v>97</v>
      </c>
      <c r="I21">
        <v>0</v>
      </c>
      <c r="T21" t="s">
        <v>80</v>
      </c>
      <c r="U21" t="s">
        <v>97</v>
      </c>
      <c r="V21">
        <v>0</v>
      </c>
      <c r="AB21" s="45"/>
    </row>
    <row r="22" spans="1:29" x14ac:dyDescent="0.25">
      <c r="G22" t="s">
        <v>82</v>
      </c>
      <c r="H22" t="s">
        <v>97</v>
      </c>
      <c r="I22">
        <v>0</v>
      </c>
      <c r="T22" t="s">
        <v>82</v>
      </c>
      <c r="U22" t="s">
        <v>97</v>
      </c>
      <c r="V22">
        <v>0</v>
      </c>
      <c r="AB22" s="45"/>
    </row>
    <row r="23" spans="1:29" x14ac:dyDescent="0.25">
      <c r="G23" t="s">
        <v>83</v>
      </c>
      <c r="H23" t="s">
        <v>97</v>
      </c>
      <c r="I23">
        <v>0</v>
      </c>
      <c r="T23" t="s">
        <v>83</v>
      </c>
      <c r="U23" t="s">
        <v>97</v>
      </c>
      <c r="V23">
        <v>0</v>
      </c>
      <c r="AB23" s="45"/>
    </row>
    <row r="24" spans="1:29" x14ac:dyDescent="0.25">
      <c r="G24" t="s">
        <v>114</v>
      </c>
      <c r="H24" t="s">
        <v>97</v>
      </c>
      <c r="I24">
        <v>0</v>
      </c>
      <c r="T24" t="s">
        <v>114</v>
      </c>
      <c r="U24" t="s">
        <v>97</v>
      </c>
      <c r="V24">
        <v>0</v>
      </c>
      <c r="AB24" s="45"/>
    </row>
    <row r="25" spans="1:29" x14ac:dyDescent="0.25">
      <c r="G25" t="s">
        <v>115</v>
      </c>
      <c r="H25" t="s">
        <v>97</v>
      </c>
      <c r="I25">
        <v>0</v>
      </c>
      <c r="T25" t="s">
        <v>115</v>
      </c>
      <c r="U25" t="s">
        <v>97</v>
      </c>
      <c r="V25">
        <v>0</v>
      </c>
      <c r="AB25" s="45"/>
    </row>
    <row r="26" spans="1:29" x14ac:dyDescent="0.25">
      <c r="G26" t="s">
        <v>116</v>
      </c>
      <c r="H26" t="s">
        <v>97</v>
      </c>
      <c r="I26">
        <v>-15000</v>
      </c>
      <c r="T26" t="s">
        <v>116</v>
      </c>
      <c r="U26" t="s">
        <v>97</v>
      </c>
      <c r="V26">
        <v>-15000</v>
      </c>
      <c r="AB26" s="45"/>
    </row>
    <row r="27" spans="1:29" x14ac:dyDescent="0.25">
      <c r="G27" t="s">
        <v>117</v>
      </c>
      <c r="H27" t="s">
        <v>97</v>
      </c>
      <c r="I27">
        <v>0.99967700000000004</v>
      </c>
      <c r="T27" t="s">
        <v>117</v>
      </c>
      <c r="U27" t="s">
        <v>97</v>
      </c>
      <c r="V27">
        <v>0.99968599999999996</v>
      </c>
      <c r="AB27" s="45"/>
    </row>
    <row r="28" spans="1:29" x14ac:dyDescent="0.25">
      <c r="G28" t="s">
        <v>118</v>
      </c>
      <c r="H28" t="s">
        <v>97</v>
      </c>
      <c r="I28">
        <v>0</v>
      </c>
      <c r="T28" t="s">
        <v>118</v>
      </c>
      <c r="U28" t="s">
        <v>97</v>
      </c>
      <c r="V28">
        <v>0</v>
      </c>
      <c r="AB28" s="45"/>
    </row>
    <row r="29" spans="1:29" x14ac:dyDescent="0.25">
      <c r="G29" t="s">
        <v>119</v>
      </c>
      <c r="H29" t="s">
        <v>97</v>
      </c>
      <c r="I29">
        <v>2.5416000000000001E-2</v>
      </c>
      <c r="T29" t="s">
        <v>119</v>
      </c>
      <c r="U29" t="s">
        <v>97</v>
      </c>
      <c r="V29">
        <v>2.5073000000000002E-2</v>
      </c>
      <c r="AB29" s="45"/>
    </row>
    <row r="30" spans="1:29" x14ac:dyDescent="0.25">
      <c r="G30" t="s">
        <v>120</v>
      </c>
      <c r="H30" t="s">
        <v>97</v>
      </c>
      <c r="I30">
        <v>0</v>
      </c>
      <c r="T30" t="s">
        <v>120</v>
      </c>
      <c r="U30" t="s">
        <v>97</v>
      </c>
      <c r="V30">
        <v>0</v>
      </c>
    </row>
  </sheetData>
  <mergeCells count="6">
    <mergeCell ref="A1:K1"/>
    <mergeCell ref="A2:E2"/>
    <mergeCell ref="G2:K2"/>
    <mergeCell ref="N1:X1"/>
    <mergeCell ref="N2:R2"/>
    <mergeCell ref="T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56E0-9D1D-4701-BDC8-ABF0A7619726}">
  <dimension ref="A1:AD33"/>
  <sheetViews>
    <sheetView workbookViewId="0">
      <selection activeCell="W6" sqref="W6"/>
    </sheetView>
  </sheetViews>
  <sheetFormatPr defaultRowHeight="15" x14ac:dyDescent="0.25"/>
  <cols>
    <col min="9" max="9" width="9.5703125" bestFit="1" customWidth="1"/>
    <col min="12" max="12" width="8.85546875" style="46" customWidth="1"/>
    <col min="17" max="17" width="12.5703125" bestFit="1" customWidth="1"/>
    <col min="22" max="22" width="9.5703125" bestFit="1" customWidth="1"/>
  </cols>
  <sheetData>
    <row r="1" spans="1:30" x14ac:dyDescent="0.25">
      <c r="A1" s="47" t="s">
        <v>124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N1" s="47" t="s">
        <v>125</v>
      </c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30" x14ac:dyDescent="0.25">
      <c r="A2" s="65" t="s">
        <v>95</v>
      </c>
      <c r="B2" s="65"/>
      <c r="C2" s="65"/>
      <c r="D2" s="65"/>
      <c r="E2" s="65"/>
      <c r="G2" s="65" t="s">
        <v>121</v>
      </c>
      <c r="H2" s="65"/>
      <c r="I2" s="65"/>
      <c r="J2" s="65"/>
      <c r="K2" s="65"/>
      <c r="N2" s="65" t="s">
        <v>95</v>
      </c>
      <c r="O2" s="65"/>
      <c r="P2" s="65"/>
      <c r="Q2" s="65"/>
      <c r="R2" s="65"/>
      <c r="T2" s="65" t="s">
        <v>121</v>
      </c>
      <c r="U2" s="65"/>
      <c r="V2" s="65"/>
      <c r="W2" s="65"/>
      <c r="X2" s="65"/>
    </row>
    <row r="3" spans="1:30" x14ac:dyDescent="0.25">
      <c r="A3" t="s">
        <v>71</v>
      </c>
      <c r="B3" t="s">
        <v>72</v>
      </c>
      <c r="C3" t="s">
        <v>73</v>
      </c>
      <c r="D3" t="s">
        <v>71</v>
      </c>
      <c r="N3" t="s">
        <v>71</v>
      </c>
      <c r="O3" t="s">
        <v>72</v>
      </c>
      <c r="P3" t="s">
        <v>73</v>
      </c>
      <c r="Q3" t="s">
        <v>71</v>
      </c>
    </row>
    <row r="4" spans="1:30" x14ac:dyDescent="0.25">
      <c r="A4" t="s">
        <v>74</v>
      </c>
      <c r="B4" t="s">
        <v>75</v>
      </c>
      <c r="C4" t="s">
        <v>76</v>
      </c>
      <c r="D4">
        <v>3.2680824739799998</v>
      </c>
      <c r="G4" t="s">
        <v>96</v>
      </c>
      <c r="H4" t="s">
        <v>97</v>
      </c>
      <c r="I4" s="20">
        <v>3.2680820000000002</v>
      </c>
      <c r="N4" t="s">
        <v>74</v>
      </c>
      <c r="O4" t="s">
        <v>75</v>
      </c>
      <c r="P4" t="s">
        <v>76</v>
      </c>
      <c r="Q4" s="20">
        <v>3.2704806927200001</v>
      </c>
      <c r="T4" t="s">
        <v>96</v>
      </c>
      <c r="U4" t="s">
        <v>97</v>
      </c>
      <c r="V4" s="20">
        <v>3.2704810000000002</v>
      </c>
    </row>
    <row r="5" spans="1:30" x14ac:dyDescent="0.25">
      <c r="A5" t="s">
        <v>77</v>
      </c>
      <c r="B5" t="s">
        <v>75</v>
      </c>
      <c r="C5" t="s">
        <v>76</v>
      </c>
      <c r="D5">
        <v>60</v>
      </c>
      <c r="G5" t="s">
        <v>98</v>
      </c>
      <c r="H5" t="s">
        <v>97</v>
      </c>
      <c r="I5" s="20">
        <v>60</v>
      </c>
      <c r="N5" t="s">
        <v>77</v>
      </c>
      <c r="O5" t="s">
        <v>75</v>
      </c>
      <c r="P5" t="s">
        <v>76</v>
      </c>
      <c r="Q5" s="20">
        <v>60</v>
      </c>
      <c r="T5" t="s">
        <v>98</v>
      </c>
      <c r="U5" t="s">
        <v>97</v>
      </c>
      <c r="V5" s="20">
        <v>60</v>
      </c>
    </row>
    <row r="6" spans="1:30" x14ac:dyDescent="0.25">
      <c r="A6" t="s">
        <v>78</v>
      </c>
      <c r="B6" t="s">
        <v>75</v>
      </c>
      <c r="C6" t="s">
        <v>76</v>
      </c>
      <c r="D6">
        <v>6.4887343606399996</v>
      </c>
      <c r="G6" t="s">
        <v>99</v>
      </c>
      <c r="H6" t="s">
        <v>97</v>
      </c>
      <c r="I6" s="20">
        <v>6.488734</v>
      </c>
      <c r="N6" t="s">
        <v>78</v>
      </c>
      <c r="O6" t="s">
        <v>75</v>
      </c>
      <c r="P6" t="s">
        <v>76</v>
      </c>
      <c r="Q6" s="20">
        <v>6.5019890226500001</v>
      </c>
      <c r="T6" t="s">
        <v>99</v>
      </c>
      <c r="U6" t="s">
        <v>97</v>
      </c>
      <c r="V6" s="20">
        <v>6.501989</v>
      </c>
    </row>
    <row r="7" spans="1:30" x14ac:dyDescent="0.25">
      <c r="A7" t="s">
        <v>79</v>
      </c>
      <c r="B7" t="s">
        <v>75</v>
      </c>
      <c r="C7" t="s">
        <v>76</v>
      </c>
      <c r="D7">
        <v>1.5284737866899999E-2</v>
      </c>
      <c r="G7" t="s">
        <v>100</v>
      </c>
      <c r="H7" t="s">
        <v>97</v>
      </c>
      <c r="I7" s="20">
        <v>1.528474E-2</v>
      </c>
      <c r="N7" t="s">
        <v>79</v>
      </c>
      <c r="O7" t="s">
        <v>75</v>
      </c>
      <c r="P7" t="s">
        <v>76</v>
      </c>
      <c r="Q7" s="20">
        <v>1.0342805335399999E-2</v>
      </c>
      <c r="T7" t="s">
        <v>100</v>
      </c>
      <c r="U7" t="s">
        <v>97</v>
      </c>
      <c r="V7" s="20">
        <v>1.0342799999999999E-2</v>
      </c>
    </row>
    <row r="8" spans="1:30" x14ac:dyDescent="0.25">
      <c r="A8" t="s">
        <v>80</v>
      </c>
      <c r="B8" t="s">
        <v>81</v>
      </c>
      <c r="C8" t="s">
        <v>76</v>
      </c>
      <c r="D8">
        <v>-0.28483686643599998</v>
      </c>
      <c r="G8" t="s">
        <v>101</v>
      </c>
      <c r="H8" t="s">
        <v>97</v>
      </c>
      <c r="I8" s="20">
        <v>-0.2848369</v>
      </c>
      <c r="N8" t="s">
        <v>80</v>
      </c>
      <c r="O8" t="s">
        <v>81</v>
      </c>
      <c r="P8" t="s">
        <v>76</v>
      </c>
      <c r="Q8" s="20">
        <v>-0.28504293992200003</v>
      </c>
      <c r="T8" t="s">
        <v>101</v>
      </c>
      <c r="U8" t="s">
        <v>97</v>
      </c>
      <c r="V8" s="20">
        <v>-0.28504289999999999</v>
      </c>
    </row>
    <row r="9" spans="1:30" x14ac:dyDescent="0.25">
      <c r="A9" t="s">
        <v>82</v>
      </c>
      <c r="B9" t="s">
        <v>81</v>
      </c>
      <c r="C9" t="s">
        <v>76</v>
      </c>
      <c r="D9">
        <v>4.3200136213500002</v>
      </c>
      <c r="G9" t="s">
        <v>102</v>
      </c>
      <c r="H9" t="s">
        <v>97</v>
      </c>
      <c r="I9" s="20">
        <v>4.3200139999999996</v>
      </c>
      <c r="N9" t="s">
        <v>82</v>
      </c>
      <c r="O9" t="s">
        <v>81</v>
      </c>
      <c r="P9" t="s">
        <v>76</v>
      </c>
      <c r="Q9" s="20">
        <v>4.3199620464299997</v>
      </c>
      <c r="T9" t="s">
        <v>102</v>
      </c>
      <c r="U9" t="s">
        <v>97</v>
      </c>
      <c r="V9" s="20">
        <v>4.3199620000000003</v>
      </c>
    </row>
    <row r="10" spans="1:30" x14ac:dyDescent="0.25">
      <c r="A10" t="s">
        <v>83</v>
      </c>
      <c r="B10" t="s">
        <v>81</v>
      </c>
      <c r="C10" t="s">
        <v>76</v>
      </c>
      <c r="D10">
        <v>2.4941610271900001</v>
      </c>
      <c r="G10" t="s">
        <v>103</v>
      </c>
      <c r="H10" t="s">
        <v>97</v>
      </c>
      <c r="I10" s="20">
        <v>2.4941610000000001</v>
      </c>
      <c r="N10" t="s">
        <v>83</v>
      </c>
      <c r="O10" t="s">
        <v>81</v>
      </c>
      <c r="P10" t="s">
        <v>76</v>
      </c>
      <c r="Q10" s="20">
        <v>2.4941312503900002</v>
      </c>
      <c r="T10" t="s">
        <v>103</v>
      </c>
      <c r="U10" t="s">
        <v>97</v>
      </c>
      <c r="V10" s="20">
        <v>2.4941309999999999</v>
      </c>
    </row>
    <row r="11" spans="1:30" x14ac:dyDescent="0.25">
      <c r="A11" t="s">
        <v>84</v>
      </c>
      <c r="B11" t="s">
        <v>75</v>
      </c>
      <c r="C11" t="s">
        <v>76</v>
      </c>
      <c r="D11">
        <v>5.3350532648999999E-2</v>
      </c>
      <c r="G11" t="s">
        <v>104</v>
      </c>
      <c r="H11" t="s">
        <v>97</v>
      </c>
      <c r="I11" s="20">
        <v>5.335053E-2</v>
      </c>
      <c r="N11" t="s">
        <v>84</v>
      </c>
      <c r="O11" t="s">
        <v>75</v>
      </c>
      <c r="P11" t="s">
        <v>76</v>
      </c>
      <c r="Q11" s="20">
        <v>5.4600120505099999E-2</v>
      </c>
      <c r="T11" t="s">
        <v>104</v>
      </c>
      <c r="U11" t="s">
        <v>97</v>
      </c>
      <c r="V11" s="20">
        <v>5.4600120000000002E-2</v>
      </c>
    </row>
    <row r="12" spans="1:30" x14ac:dyDescent="0.25">
      <c r="A12" t="s">
        <v>85</v>
      </c>
      <c r="B12" t="s">
        <v>75</v>
      </c>
      <c r="C12" t="s">
        <v>76</v>
      </c>
      <c r="D12">
        <v>-2.8292067354400001</v>
      </c>
      <c r="G12" t="s">
        <v>105</v>
      </c>
      <c r="H12" t="s">
        <v>97</v>
      </c>
      <c r="I12" s="20">
        <v>-2.8292069999999998</v>
      </c>
      <c r="N12" t="s">
        <v>85</v>
      </c>
      <c r="O12" t="s">
        <v>75</v>
      </c>
      <c r="P12" t="s">
        <v>76</v>
      </c>
      <c r="Q12" s="20">
        <v>-2.8178160061900002</v>
      </c>
      <c r="T12" t="s">
        <v>105</v>
      </c>
      <c r="U12" t="s">
        <v>97</v>
      </c>
      <c r="V12" s="20">
        <v>-2.8178160000000001</v>
      </c>
      <c r="AD12" s="45"/>
    </row>
    <row r="13" spans="1:30" x14ac:dyDescent="0.25">
      <c r="A13" t="s">
        <v>86</v>
      </c>
      <c r="B13" t="s">
        <v>75</v>
      </c>
      <c r="C13" t="s">
        <v>76</v>
      </c>
      <c r="D13">
        <v>-8.2121357075100002E-2</v>
      </c>
      <c r="G13" t="s">
        <v>106</v>
      </c>
      <c r="H13" t="s">
        <v>97</v>
      </c>
      <c r="I13" s="20">
        <v>-8.2121360000000004E-2</v>
      </c>
      <c r="N13" t="s">
        <v>86</v>
      </c>
      <c r="O13" t="s">
        <v>75</v>
      </c>
      <c r="P13" t="s">
        <v>76</v>
      </c>
      <c r="Q13" s="20">
        <v>-0.50465416192099999</v>
      </c>
      <c r="T13" t="s">
        <v>106</v>
      </c>
      <c r="U13" t="s">
        <v>97</v>
      </c>
      <c r="V13" s="20">
        <v>-0.50465409999999999</v>
      </c>
      <c r="AD13" s="45"/>
    </row>
    <row r="14" spans="1:30" x14ac:dyDescent="0.25">
      <c r="A14" t="s">
        <v>87</v>
      </c>
      <c r="C14" t="s">
        <v>76</v>
      </c>
      <c r="D14">
        <v>0.185415704027</v>
      </c>
      <c r="G14" t="s">
        <v>107</v>
      </c>
      <c r="H14" t="s">
        <v>97</v>
      </c>
      <c r="I14" s="20">
        <v>0.18541579999999999</v>
      </c>
      <c r="N14" t="s">
        <v>87</v>
      </c>
      <c r="P14" t="s">
        <v>76</v>
      </c>
      <c r="Q14" s="20">
        <v>0.18774529346999999</v>
      </c>
      <c r="T14" t="s">
        <v>107</v>
      </c>
      <c r="U14" t="s">
        <v>97</v>
      </c>
      <c r="V14" s="20">
        <v>0.18774540000000001</v>
      </c>
      <c r="AD14" s="45"/>
    </row>
    <row r="15" spans="1:30" x14ac:dyDescent="0.25">
      <c r="A15" t="s">
        <v>88</v>
      </c>
      <c r="B15" t="s">
        <v>89</v>
      </c>
      <c r="C15" t="s">
        <v>76</v>
      </c>
      <c r="D15">
        <v>3713.9551053393002</v>
      </c>
      <c r="N15" t="s">
        <v>88</v>
      </c>
      <c r="O15" t="s">
        <v>89</v>
      </c>
      <c r="P15" t="s">
        <v>76</v>
      </c>
      <c r="Q15" s="20">
        <v>3760.6177688446301</v>
      </c>
      <c r="AD15" s="45"/>
    </row>
    <row r="16" spans="1:30" x14ac:dyDescent="0.25">
      <c r="A16" t="s">
        <v>90</v>
      </c>
      <c r="B16" t="s">
        <v>91</v>
      </c>
      <c r="C16" t="s">
        <v>76</v>
      </c>
      <c r="D16">
        <v>1.990321234062</v>
      </c>
      <c r="N16" t="s">
        <v>90</v>
      </c>
      <c r="O16" t="s">
        <v>91</v>
      </c>
      <c r="P16" t="s">
        <v>76</v>
      </c>
      <c r="Q16" s="20">
        <v>1.9903070281619999</v>
      </c>
      <c r="AD16" s="45"/>
    </row>
    <row r="17" spans="1:30" x14ac:dyDescent="0.25">
      <c r="A17" t="s">
        <v>90</v>
      </c>
      <c r="B17" t="s">
        <v>91</v>
      </c>
      <c r="C17" t="s">
        <v>76</v>
      </c>
      <c r="D17">
        <v>1.96984776613</v>
      </c>
      <c r="N17" t="s">
        <v>90</v>
      </c>
      <c r="O17" t="s">
        <v>91</v>
      </c>
      <c r="P17" t="s">
        <v>76</v>
      </c>
      <c r="Q17" s="20">
        <v>1.9700287554210001</v>
      </c>
      <c r="T17" t="s">
        <v>65</v>
      </c>
      <c r="U17" t="s">
        <v>66</v>
      </c>
      <c r="V17" t="s">
        <v>108</v>
      </c>
      <c r="W17" t="s">
        <v>109</v>
      </c>
      <c r="X17" t="s">
        <v>110</v>
      </c>
      <c r="AD17" s="45"/>
    </row>
    <row r="18" spans="1:30" x14ac:dyDescent="0.25">
      <c r="A18" t="s">
        <v>94</v>
      </c>
      <c r="C18" t="s">
        <v>76</v>
      </c>
      <c r="D18">
        <v>47</v>
      </c>
      <c r="N18" t="s">
        <v>92</v>
      </c>
      <c r="O18" t="s">
        <v>93</v>
      </c>
      <c r="P18" t="s">
        <v>76</v>
      </c>
      <c r="Q18">
        <v>47</v>
      </c>
      <c r="T18" t="s">
        <v>111</v>
      </c>
      <c r="U18" t="s">
        <v>97</v>
      </c>
      <c r="V18">
        <v>629.92205799999999</v>
      </c>
      <c r="AD18" s="45"/>
    </row>
    <row r="19" spans="1:30" x14ac:dyDescent="0.25">
      <c r="T19" t="s">
        <v>112</v>
      </c>
      <c r="U19" t="s">
        <v>97</v>
      </c>
      <c r="V19">
        <v>0.11444699999999999</v>
      </c>
      <c r="AD19" s="45"/>
    </row>
    <row r="20" spans="1:30" x14ac:dyDescent="0.25">
      <c r="G20" t="s">
        <v>65</v>
      </c>
      <c r="H20" t="s">
        <v>66</v>
      </c>
      <c r="I20" t="s">
        <v>108</v>
      </c>
      <c r="J20" t="s">
        <v>109</v>
      </c>
      <c r="K20" t="s">
        <v>110</v>
      </c>
      <c r="T20" t="s">
        <v>113</v>
      </c>
      <c r="U20" t="s">
        <v>97</v>
      </c>
      <c r="V20">
        <v>71.792702000000006</v>
      </c>
      <c r="AD20" s="45"/>
    </row>
    <row r="21" spans="1:30" x14ac:dyDescent="0.25">
      <c r="G21" t="s">
        <v>111</v>
      </c>
      <c r="H21" t="s">
        <v>97</v>
      </c>
      <c r="I21">
        <v>629.93866000000003</v>
      </c>
      <c r="T21" t="s">
        <v>80</v>
      </c>
      <c r="U21" t="s">
        <v>97</v>
      </c>
      <c r="V21">
        <v>-4.9750000000000003E-3</v>
      </c>
      <c r="AD21" s="45"/>
    </row>
    <row r="22" spans="1:30" x14ac:dyDescent="0.25">
      <c r="G22" t="s">
        <v>112</v>
      </c>
      <c r="H22" t="s">
        <v>97</v>
      </c>
      <c r="I22">
        <v>0.169132</v>
      </c>
      <c r="T22" t="s">
        <v>82</v>
      </c>
      <c r="U22" t="s">
        <v>97</v>
      </c>
      <c r="V22">
        <v>7.5398000000000007E-2</v>
      </c>
      <c r="AD22" s="45"/>
    </row>
    <row r="23" spans="1:30" x14ac:dyDescent="0.25">
      <c r="G23" t="s">
        <v>113</v>
      </c>
      <c r="H23" t="s">
        <v>97</v>
      </c>
      <c r="I23">
        <v>71.646973000000003</v>
      </c>
      <c r="T23" t="s">
        <v>83</v>
      </c>
      <c r="U23" t="s">
        <v>97</v>
      </c>
      <c r="V23">
        <v>4.3531E-2</v>
      </c>
    </row>
    <row r="24" spans="1:30" x14ac:dyDescent="0.25">
      <c r="G24" t="s">
        <v>80</v>
      </c>
      <c r="H24" t="s">
        <v>97</v>
      </c>
      <c r="I24">
        <v>-4.9709999999999997E-3</v>
      </c>
      <c r="T24" t="s">
        <v>114</v>
      </c>
      <c r="U24" t="s">
        <v>97</v>
      </c>
      <c r="V24">
        <v>0</v>
      </c>
    </row>
    <row r="25" spans="1:30" x14ac:dyDescent="0.25">
      <c r="G25" t="s">
        <v>82</v>
      </c>
      <c r="H25" t="s">
        <v>97</v>
      </c>
      <c r="I25">
        <v>7.5398000000000007E-2</v>
      </c>
      <c r="T25" t="s">
        <v>115</v>
      </c>
      <c r="U25" t="s">
        <v>97</v>
      </c>
      <c r="V25">
        <v>0</v>
      </c>
    </row>
    <row r="26" spans="1:30" x14ac:dyDescent="0.25">
      <c r="G26" t="s">
        <v>83</v>
      </c>
      <c r="H26" t="s">
        <v>97</v>
      </c>
      <c r="I26">
        <v>4.3531E-2</v>
      </c>
      <c r="T26" t="s">
        <v>116</v>
      </c>
      <c r="U26" t="s">
        <v>97</v>
      </c>
      <c r="V26">
        <v>-15000</v>
      </c>
    </row>
    <row r="27" spans="1:30" x14ac:dyDescent="0.25">
      <c r="G27" t="s">
        <v>114</v>
      </c>
      <c r="H27" t="s">
        <v>97</v>
      </c>
      <c r="I27">
        <v>0</v>
      </c>
      <c r="T27" t="s">
        <v>117</v>
      </c>
      <c r="U27" t="s">
        <v>97</v>
      </c>
      <c r="V27">
        <v>0.86300299999999996</v>
      </c>
    </row>
    <row r="28" spans="1:30" x14ac:dyDescent="0.25">
      <c r="G28" t="s">
        <v>115</v>
      </c>
      <c r="H28" t="s">
        <v>97</v>
      </c>
      <c r="I28">
        <v>0</v>
      </c>
      <c r="T28" t="s">
        <v>118</v>
      </c>
      <c r="U28" t="s">
        <v>97</v>
      </c>
      <c r="V28">
        <v>0.49507200000000001</v>
      </c>
    </row>
    <row r="29" spans="1:30" x14ac:dyDescent="0.25">
      <c r="G29" t="s">
        <v>116</v>
      </c>
      <c r="H29" t="s">
        <v>97</v>
      </c>
      <c r="I29">
        <v>-15000</v>
      </c>
      <c r="T29" t="s">
        <v>119</v>
      </c>
      <c r="U29" t="s">
        <v>97</v>
      </c>
      <c r="V29">
        <v>7.2875999999999996E-2</v>
      </c>
    </row>
    <row r="30" spans="1:30" x14ac:dyDescent="0.25">
      <c r="G30" t="s">
        <v>117</v>
      </c>
      <c r="H30" t="s">
        <v>97</v>
      </c>
      <c r="I30">
        <v>0.86301899999999998</v>
      </c>
      <c r="T30" t="s">
        <v>120</v>
      </c>
      <c r="U30" t="s">
        <v>97</v>
      </c>
      <c r="V30">
        <v>6.9417999999999994E-2</v>
      </c>
    </row>
    <row r="31" spans="1:30" x14ac:dyDescent="0.25">
      <c r="G31" t="s">
        <v>118</v>
      </c>
      <c r="H31" t="s">
        <v>97</v>
      </c>
      <c r="I31">
        <v>0.495091</v>
      </c>
    </row>
    <row r="32" spans="1:30" x14ac:dyDescent="0.25">
      <c r="G32" t="s">
        <v>119</v>
      </c>
      <c r="H32" t="s">
        <v>97</v>
      </c>
      <c r="I32">
        <v>7.2741E-2</v>
      </c>
    </row>
    <row r="33" spans="7:9" x14ac:dyDescent="0.25">
      <c r="G33" t="s">
        <v>120</v>
      </c>
      <c r="H33" t="s">
        <v>97</v>
      </c>
      <c r="I33">
        <v>6.9225999999999996E-2</v>
      </c>
    </row>
  </sheetData>
  <mergeCells count="6">
    <mergeCell ref="A2:E2"/>
    <mergeCell ref="G2:K2"/>
    <mergeCell ref="A1:K1"/>
    <mergeCell ref="N1:X1"/>
    <mergeCell ref="N2:R2"/>
    <mergeCell ref="T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5CB3-9D94-4B0F-8B0A-F31FFB3B7778}">
  <dimension ref="A1:AG145"/>
  <sheetViews>
    <sheetView tabSelected="1" workbookViewId="0">
      <selection activeCell="G28" sqref="G28"/>
    </sheetView>
  </sheetViews>
  <sheetFormatPr defaultRowHeight="15" x14ac:dyDescent="0.25"/>
  <cols>
    <col min="1" max="1" width="11" bestFit="1" customWidth="1"/>
    <col min="2" max="2" width="13.42578125" bestFit="1" customWidth="1"/>
    <col min="3" max="3" width="14.7109375" bestFit="1" customWidth="1"/>
    <col min="4" max="4" width="14.42578125" bestFit="1" customWidth="1"/>
    <col min="5" max="5" width="15.42578125" customWidth="1"/>
    <col min="6" max="7" width="16.42578125" bestFit="1" customWidth="1"/>
    <col min="9" max="9" width="11.42578125" bestFit="1" customWidth="1"/>
    <col min="10" max="10" width="15.5703125" bestFit="1" customWidth="1"/>
    <col min="11" max="11" width="12.28515625" bestFit="1" customWidth="1"/>
    <col min="12" max="12" width="14.42578125" bestFit="1" customWidth="1"/>
    <col min="13" max="13" width="15" bestFit="1" customWidth="1"/>
    <col min="14" max="14" width="15.42578125" bestFit="1" customWidth="1"/>
    <col min="15" max="17" width="10.42578125" bestFit="1" customWidth="1"/>
    <col min="18" max="18" width="13.7109375" bestFit="1" customWidth="1"/>
    <col min="19" max="19" width="14.42578125" bestFit="1" customWidth="1"/>
    <col min="20" max="20" width="11.5703125" bestFit="1" customWidth="1"/>
    <col min="23" max="24" width="11.28515625" bestFit="1" customWidth="1"/>
    <col min="25" max="25" width="11.5703125" bestFit="1" customWidth="1"/>
    <col min="26" max="26" width="12.5703125" bestFit="1" customWidth="1"/>
    <col min="27" max="27" width="13.42578125" bestFit="1" customWidth="1"/>
  </cols>
  <sheetData>
    <row r="1" spans="1:33" x14ac:dyDescent="0.25">
      <c r="A1" s="48" t="s">
        <v>122</v>
      </c>
      <c r="B1" s="48"/>
      <c r="C1" s="48"/>
      <c r="D1" s="48"/>
      <c r="E1" s="48"/>
      <c r="F1" s="48"/>
      <c r="G1" s="48"/>
    </row>
    <row r="2" spans="1:33" x14ac:dyDescent="0.25">
      <c r="A2" t="s">
        <v>59</v>
      </c>
      <c r="H2" t="s">
        <v>60</v>
      </c>
      <c r="U2" t="s">
        <v>67</v>
      </c>
    </row>
    <row r="3" spans="1:33" x14ac:dyDescent="0.25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s="47" t="s">
        <v>69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V3" s="47" t="s">
        <v>69</v>
      </c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 spans="1:33" x14ac:dyDescent="0.25"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I4" s="20">
        <v>-2.4683609999999998</v>
      </c>
      <c r="J4" s="20">
        <v>0</v>
      </c>
      <c r="K4" s="20">
        <v>37.278377999999996</v>
      </c>
      <c r="L4" s="20">
        <v>0</v>
      </c>
      <c r="M4" s="20">
        <v>-17.566617999999998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-20473.515625</v>
      </c>
      <c r="T4" s="20">
        <v>0</v>
      </c>
      <c r="V4">
        <v>638.07665999999995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I5" s="20">
        <v>0</v>
      </c>
      <c r="J5" s="20">
        <v>-138.816788</v>
      </c>
      <c r="K5" s="20">
        <v>0</v>
      </c>
      <c r="L5" s="20">
        <v>185.72186300000001</v>
      </c>
      <c r="M5" s="20">
        <v>0</v>
      </c>
      <c r="N5" s="20">
        <v>-403565.125</v>
      </c>
      <c r="O5" s="20">
        <v>0</v>
      </c>
      <c r="P5" s="20">
        <v>0</v>
      </c>
      <c r="Q5" s="20">
        <v>0</v>
      </c>
      <c r="R5" s="20">
        <v>20473.515625</v>
      </c>
      <c r="S5" s="20">
        <v>0</v>
      </c>
      <c r="T5" s="20">
        <v>0</v>
      </c>
      <c r="V5">
        <v>0</v>
      </c>
      <c r="W5">
        <v>638.07665999999995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B6" t="s">
        <v>40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I6" s="20">
        <v>-78.385009999999994</v>
      </c>
      <c r="J6" s="20">
        <v>0</v>
      </c>
      <c r="K6" s="20">
        <v>-538.31732199999999</v>
      </c>
      <c r="L6" s="20">
        <v>0</v>
      </c>
      <c r="M6" s="20">
        <v>401659.375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-1041.719482</v>
      </c>
      <c r="T6" s="20">
        <v>0</v>
      </c>
      <c r="V6">
        <v>0</v>
      </c>
      <c r="W6">
        <v>0</v>
      </c>
      <c r="X6">
        <v>638.37268100000006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B7" t="s">
        <v>41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I7" s="20">
        <v>0</v>
      </c>
      <c r="J7" s="20">
        <v>-354.89782700000001</v>
      </c>
      <c r="K7" s="20">
        <v>0</v>
      </c>
      <c r="L7" s="20">
        <v>-21278.416015999999</v>
      </c>
      <c r="M7" s="20">
        <v>0</v>
      </c>
      <c r="N7" s="20">
        <v>5909.8208009999998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V7">
        <v>0</v>
      </c>
      <c r="W7">
        <v>0</v>
      </c>
      <c r="X7">
        <v>0</v>
      </c>
      <c r="Y7">
        <v>9496</v>
      </c>
      <c r="Z7">
        <v>0</v>
      </c>
      <c r="AA7">
        <v>-982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B8" t="s">
        <v>42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I8" s="20">
        <v>0.38956499999999999</v>
      </c>
      <c r="J8" s="20">
        <v>0</v>
      </c>
      <c r="K8" s="20">
        <v>-225.16357400000001</v>
      </c>
      <c r="L8" s="20">
        <v>0</v>
      </c>
      <c r="M8" s="20">
        <v>-51602.964844000002</v>
      </c>
      <c r="N8" s="20">
        <v>-160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V8">
        <v>0</v>
      </c>
      <c r="W8">
        <v>0</v>
      </c>
      <c r="X8">
        <v>3.8870469999999999</v>
      </c>
      <c r="Y8">
        <v>0</v>
      </c>
      <c r="Z8">
        <v>55814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I9" s="20">
        <v>0</v>
      </c>
      <c r="J9" s="20">
        <v>1234.2138669999999</v>
      </c>
      <c r="K9" s="20">
        <v>0</v>
      </c>
      <c r="L9" s="20">
        <v>-1461.5349120000001</v>
      </c>
      <c r="M9" s="20">
        <v>160</v>
      </c>
      <c r="N9" s="20">
        <v>-13029.308594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V9">
        <v>0</v>
      </c>
      <c r="W9">
        <v>0</v>
      </c>
      <c r="X9">
        <v>0</v>
      </c>
      <c r="Y9">
        <v>-982</v>
      </c>
      <c r="Z9">
        <v>0</v>
      </c>
      <c r="AA9">
        <v>63100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I10" s="20">
        <v>0.99870800000000004</v>
      </c>
      <c r="J10" s="20">
        <v>0</v>
      </c>
      <c r="K10" s="20">
        <v>5.0816E-2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-32.217078999999998</v>
      </c>
      <c r="T10" s="2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s="47" t="s">
        <v>61</v>
      </c>
      <c r="B11" s="47"/>
      <c r="C11" s="47"/>
      <c r="D11" s="47"/>
      <c r="E11" s="47"/>
      <c r="F11" s="47"/>
      <c r="G11" s="47"/>
      <c r="I11" s="20">
        <v>0</v>
      </c>
      <c r="J11" s="20">
        <v>1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633.18090800000004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 s="44"/>
      <c r="B12" s="20">
        <v>-4.9911794118647297</v>
      </c>
      <c r="C12" s="20">
        <v>0</v>
      </c>
      <c r="D12" s="20">
        <v>35.703330360863703</v>
      </c>
      <c r="E12" s="20">
        <v>0</v>
      </c>
      <c r="F12" s="20">
        <v>-24.9617713664558</v>
      </c>
      <c r="G12" s="20">
        <v>0</v>
      </c>
      <c r="H12" s="44"/>
      <c r="I12" s="20">
        <v>-5.0816E-2</v>
      </c>
      <c r="J12" s="20">
        <v>0</v>
      </c>
      <c r="K12" s="20">
        <v>0.99870800000000004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-633.18090800000004</v>
      </c>
      <c r="T12" s="20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</row>
    <row r="13" spans="1:33" x14ac:dyDescent="0.25">
      <c r="A13" s="44"/>
      <c r="B13" s="20">
        <v>0</v>
      </c>
      <c r="C13" s="20">
        <v>-131.408248307956</v>
      </c>
      <c r="D13" s="20">
        <v>0</v>
      </c>
      <c r="E13" s="20">
        <v>128.48694068768799</v>
      </c>
      <c r="F13" s="20">
        <v>0</v>
      </c>
      <c r="G13" s="20">
        <v>929.90034748582798</v>
      </c>
      <c r="H13" s="44"/>
      <c r="I13" s="20">
        <v>0</v>
      </c>
      <c r="J13" s="20">
        <v>0</v>
      </c>
      <c r="K13" s="20">
        <v>0</v>
      </c>
      <c r="L13" s="20">
        <v>1</v>
      </c>
      <c r="M13" s="20">
        <v>0</v>
      </c>
      <c r="N13" s="20">
        <v>5.0881000000000003E-2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x14ac:dyDescent="0.25">
      <c r="A14" s="44"/>
      <c r="B14" s="20">
        <v>-38.519247084183903</v>
      </c>
      <c r="C14" s="20">
        <v>0</v>
      </c>
      <c r="D14" s="20">
        <v>-513.93170100838199</v>
      </c>
      <c r="E14" s="20">
        <v>0</v>
      </c>
      <c r="F14" s="20">
        <v>-2736.1615577985099</v>
      </c>
      <c r="G14" s="20">
        <v>0</v>
      </c>
      <c r="H14" s="44"/>
      <c r="I14" s="20">
        <v>0</v>
      </c>
      <c r="J14" s="20">
        <v>0</v>
      </c>
      <c r="K14" s="20">
        <v>0</v>
      </c>
      <c r="L14" s="20">
        <v>0</v>
      </c>
      <c r="M14" s="20">
        <v>1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</row>
    <row r="15" spans="1:33" x14ac:dyDescent="0.25">
      <c r="A15" s="44"/>
      <c r="B15" s="20">
        <v>0</v>
      </c>
      <c r="C15" s="20">
        <v>-335.506850183089</v>
      </c>
      <c r="D15" s="20">
        <v>0</v>
      </c>
      <c r="E15" s="20">
        <v>-20373.717505392899</v>
      </c>
      <c r="F15" s="20">
        <v>0</v>
      </c>
      <c r="G15" s="20">
        <v>4557.5047448734904</v>
      </c>
      <c r="H15" s="44"/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1.0012939999999999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25">
      <c r="A16" s="44"/>
      <c r="B16" s="20">
        <v>11.5284143806335</v>
      </c>
      <c r="C16" s="20">
        <v>0</v>
      </c>
      <c r="D16" s="20">
        <v>-226.574599316985</v>
      </c>
      <c r="E16" s="20">
        <v>0</v>
      </c>
      <c r="F16" s="20">
        <v>-46953.138835273501</v>
      </c>
      <c r="G16" s="20">
        <v>0</v>
      </c>
      <c r="H16" s="44"/>
    </row>
    <row r="17" spans="1:33" x14ac:dyDescent="0.25">
      <c r="A17" s="44"/>
      <c r="B17" s="20">
        <v>0</v>
      </c>
      <c r="C17" s="20">
        <v>1166.95483678655</v>
      </c>
      <c r="D17" s="20">
        <v>0</v>
      </c>
      <c r="E17" s="20">
        <v>-753.977857951224</v>
      </c>
      <c r="F17" s="20">
        <v>0</v>
      </c>
      <c r="G17" s="20">
        <v>-12371.7083871266</v>
      </c>
      <c r="H17" s="44"/>
    </row>
    <row r="18" spans="1:33" x14ac:dyDescent="0.25">
      <c r="I18" s="47" t="s">
        <v>68</v>
      </c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V18" s="47" t="s">
        <v>68</v>
      </c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</row>
    <row r="19" spans="1:33" x14ac:dyDescent="0.25">
      <c r="I19" s="20">
        <v>-2.4682940000000002</v>
      </c>
      <c r="J19" s="20">
        <v>0</v>
      </c>
      <c r="K19" s="20">
        <v>37.278393000000001</v>
      </c>
      <c r="L19" s="20">
        <v>0</v>
      </c>
      <c r="M19" s="20">
        <v>-20574.533028999998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-20473.515101000001</v>
      </c>
      <c r="T19" s="20">
        <v>0</v>
      </c>
      <c r="V19">
        <v>638.07666700000004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 s="47" t="s">
        <v>58</v>
      </c>
      <c r="B20" s="47"/>
      <c r="C20" s="47"/>
      <c r="D20" s="47"/>
      <c r="E20" s="47"/>
      <c r="F20" s="47"/>
      <c r="G20" s="47"/>
      <c r="I20" s="20">
        <v>0</v>
      </c>
      <c r="J20" s="20">
        <v>-138.81677999999999</v>
      </c>
      <c r="K20" s="20">
        <v>0</v>
      </c>
      <c r="L20" s="20">
        <v>20742.690739000001</v>
      </c>
      <c r="M20" s="20">
        <v>0</v>
      </c>
      <c r="N20" s="20">
        <v>-403042.482602</v>
      </c>
      <c r="O20" s="20">
        <v>0</v>
      </c>
      <c r="P20" s="20">
        <v>0</v>
      </c>
      <c r="Q20" s="20">
        <v>0</v>
      </c>
      <c r="R20" s="20">
        <v>20473.515101000001</v>
      </c>
      <c r="S20" s="20">
        <v>0</v>
      </c>
      <c r="T20" s="20">
        <v>0</v>
      </c>
      <c r="V20">
        <v>0</v>
      </c>
      <c r="W20">
        <v>638.07666700000004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B21" s="20">
        <v>-5.0606727831810003</v>
      </c>
      <c r="C21" s="20">
        <v>7.6950000000000004E-9</v>
      </c>
      <c r="D21" s="20">
        <v>37.069123803136002</v>
      </c>
      <c r="E21" s="20">
        <v>0</v>
      </c>
      <c r="F21" s="20">
        <v>-17.566511145991999</v>
      </c>
      <c r="G21" s="20">
        <v>0</v>
      </c>
      <c r="I21" s="20">
        <v>-78.385005000000007</v>
      </c>
      <c r="J21" s="20">
        <v>0</v>
      </c>
      <c r="K21" s="20">
        <v>-538.31732699999998</v>
      </c>
      <c r="L21" s="20">
        <v>0</v>
      </c>
      <c r="M21" s="20">
        <v>401136.70792199997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-1041.719445</v>
      </c>
      <c r="T21" s="20">
        <v>0</v>
      </c>
      <c r="V21">
        <v>0</v>
      </c>
      <c r="W21">
        <v>0</v>
      </c>
      <c r="X21">
        <v>638.37270999999998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B22" s="20">
        <v>0</v>
      </c>
      <c r="C22" s="20">
        <v>-138.81678006644401</v>
      </c>
      <c r="D22" s="20">
        <v>0</v>
      </c>
      <c r="E22" s="20">
        <v>135.91297509090299</v>
      </c>
      <c r="F22" s="20">
        <v>0</v>
      </c>
      <c r="G22" s="20">
        <v>983.64489097816397</v>
      </c>
      <c r="I22" s="20">
        <v>0</v>
      </c>
      <c r="J22" s="20">
        <v>-354.89781199999999</v>
      </c>
      <c r="K22" s="20">
        <v>0</v>
      </c>
      <c r="L22" s="20">
        <v>-21278.671316</v>
      </c>
      <c r="M22" s="20">
        <v>0</v>
      </c>
      <c r="N22" s="20">
        <v>5909.8913700000003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V22">
        <v>0</v>
      </c>
      <c r="W22">
        <v>0</v>
      </c>
      <c r="X22">
        <v>0</v>
      </c>
      <c r="Y22">
        <v>9496</v>
      </c>
      <c r="Z22">
        <v>0</v>
      </c>
      <c r="AA22">
        <v>-982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B23" s="20">
        <v>-37.146871819201003</v>
      </c>
      <c r="C23" s="20">
        <v>3.9099999999999999E-10</v>
      </c>
      <c r="D23" s="20">
        <v>-540.90378628415101</v>
      </c>
      <c r="E23" s="20">
        <v>9.9999999999999994E-12</v>
      </c>
      <c r="F23" s="20">
        <v>-2881.2192632740998</v>
      </c>
      <c r="G23" s="20">
        <v>1.9999999999999999E-11</v>
      </c>
      <c r="I23" s="20">
        <v>0.38956800000000003</v>
      </c>
      <c r="J23" s="20">
        <v>0</v>
      </c>
      <c r="K23" s="20">
        <v>-225.16357500000001</v>
      </c>
      <c r="L23" s="20">
        <v>0</v>
      </c>
      <c r="M23" s="20">
        <v>-51603.589434000001</v>
      </c>
      <c r="N23" s="20">
        <v>-160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V23">
        <v>0</v>
      </c>
      <c r="W23">
        <v>0</v>
      </c>
      <c r="X23">
        <v>3.8870469999999999</v>
      </c>
      <c r="Y23">
        <v>0</v>
      </c>
      <c r="Z23">
        <v>55814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B24" s="20">
        <v>0</v>
      </c>
      <c r="C24" s="20">
        <v>-354.897812397905</v>
      </c>
      <c r="D24" s="20">
        <v>0</v>
      </c>
      <c r="E24" s="20">
        <v>-21551.2373864529</v>
      </c>
      <c r="F24" s="20">
        <v>0</v>
      </c>
      <c r="G24" s="20">
        <v>4820.9104018771304</v>
      </c>
      <c r="I24" s="20">
        <v>0</v>
      </c>
      <c r="J24" s="20">
        <v>1234.213845</v>
      </c>
      <c r="K24" s="20">
        <v>0</v>
      </c>
      <c r="L24" s="20">
        <v>-1461.5523720000001</v>
      </c>
      <c r="M24" s="20">
        <v>160</v>
      </c>
      <c r="N24" s="20">
        <v>-13029.464110000001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V24">
        <v>0</v>
      </c>
      <c r="W24">
        <v>0</v>
      </c>
      <c r="X24">
        <v>0</v>
      </c>
      <c r="Y24">
        <v>-982</v>
      </c>
      <c r="Z24">
        <v>0</v>
      </c>
      <c r="AA24">
        <v>63100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B25" s="20">
        <v>11.44181822671</v>
      </c>
      <c r="C25" s="20">
        <v>3.9099999999999999E-10</v>
      </c>
      <c r="D25" s="20">
        <v>-224.87267498741201</v>
      </c>
      <c r="E25" s="20">
        <v>0</v>
      </c>
      <c r="F25" s="20">
        <v>-51602.963640587797</v>
      </c>
      <c r="G25" s="20">
        <v>0</v>
      </c>
      <c r="I25" s="20">
        <v>0.99870800000000004</v>
      </c>
      <c r="J25" s="20">
        <v>0</v>
      </c>
      <c r="K25" s="20">
        <v>5.0816E-2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B26" s="20">
        <v>0</v>
      </c>
      <c r="C26" s="20">
        <v>1234.21384479586</v>
      </c>
      <c r="D26" s="20">
        <v>0</v>
      </c>
      <c r="E26" s="20">
        <v>-797.55478088551001</v>
      </c>
      <c r="F26" s="20">
        <v>0</v>
      </c>
      <c r="G26" s="20">
        <v>-13086.743951189101</v>
      </c>
      <c r="I26" s="20">
        <v>0</v>
      </c>
      <c r="J26" s="20">
        <v>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-32.217078999999998</v>
      </c>
      <c r="S26" s="20">
        <v>0</v>
      </c>
      <c r="T26" s="20">
        <v>634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I27" s="20">
        <v>-5.0816E-2</v>
      </c>
      <c r="J27" s="20">
        <v>0</v>
      </c>
      <c r="K27" s="20">
        <v>0.99870800000000004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-634</v>
      </c>
      <c r="T27" s="20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</row>
    <row r="28" spans="1:33" x14ac:dyDescent="0.25">
      <c r="I28" s="20">
        <v>0</v>
      </c>
      <c r="J28" s="20">
        <v>0</v>
      </c>
      <c r="K28" s="20">
        <v>0</v>
      </c>
      <c r="L28" s="20">
        <v>1</v>
      </c>
      <c r="M28" s="20">
        <v>0</v>
      </c>
      <c r="N28" s="20">
        <v>5.0881000000000003E-2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</row>
    <row r="29" spans="1:33" x14ac:dyDescent="0.25">
      <c r="A29" s="47" t="s">
        <v>62</v>
      </c>
      <c r="B29" s="47"/>
      <c r="C29" s="47"/>
      <c r="D29" s="47"/>
      <c r="E29" s="47"/>
      <c r="F29" s="47"/>
      <c r="G29" s="47"/>
      <c r="I29" s="20">
        <v>0</v>
      </c>
      <c r="J29" s="20">
        <v>0</v>
      </c>
      <c r="K29" s="20">
        <v>0</v>
      </c>
      <c r="L29" s="20">
        <v>0</v>
      </c>
      <c r="M29" s="20">
        <v>1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</row>
    <row r="30" spans="1:33" x14ac:dyDescent="0.25">
      <c r="B30" s="20">
        <v>-4.359428733094</v>
      </c>
      <c r="C30" s="20">
        <v>-1.2000000000000001E-11</v>
      </c>
      <c r="D30" s="20">
        <v>37.104803939347001</v>
      </c>
      <c r="E30" s="20">
        <v>0</v>
      </c>
      <c r="F30" s="20">
        <v>-17.566511145991999</v>
      </c>
      <c r="G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1.0012939999999999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25">
      <c r="B31" s="20">
        <v>0</v>
      </c>
      <c r="C31" s="20">
        <v>-138.816780054932</v>
      </c>
      <c r="D31" s="20">
        <v>0</v>
      </c>
      <c r="E31" s="20">
        <v>135.91297509090299</v>
      </c>
      <c r="F31" s="20">
        <v>0</v>
      </c>
      <c r="G31" s="20">
        <v>983.64489097816397</v>
      </c>
    </row>
    <row r="32" spans="1:33" x14ac:dyDescent="0.25">
      <c r="B32" s="20">
        <v>-50.928826879421003</v>
      </c>
      <c r="C32" s="20">
        <v>-3.9999999999999999E-12</v>
      </c>
      <c r="D32" s="20">
        <v>-541.60502986519202</v>
      </c>
      <c r="E32" s="20">
        <v>9.9999999999999994E-12</v>
      </c>
      <c r="F32" s="20">
        <v>-2881.2192632740998</v>
      </c>
      <c r="G32" s="20">
        <v>1.9999999999999999E-11</v>
      </c>
      <c r="I32" s="47" t="s">
        <v>70</v>
      </c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</row>
    <row r="33" spans="1:33" x14ac:dyDescent="0.25">
      <c r="B33" s="20">
        <v>0</v>
      </c>
      <c r="C33" s="20">
        <v>-354.89781239787197</v>
      </c>
      <c r="D33" s="20">
        <v>0</v>
      </c>
      <c r="E33" s="20">
        <v>-21551.2373864529</v>
      </c>
      <c r="F33" s="20">
        <v>0</v>
      </c>
      <c r="G33" s="20">
        <v>4820.9104018771304</v>
      </c>
      <c r="I33" s="20">
        <f>I19-I4</f>
        <v>6.6999999999595161E-5</v>
      </c>
      <c r="J33" s="20">
        <f t="shared" ref="J33:T33" si="0">J19-J4</f>
        <v>0</v>
      </c>
      <c r="K33" s="20">
        <f t="shared" si="0"/>
        <v>1.5000000004761205E-5</v>
      </c>
      <c r="L33" s="26">
        <f t="shared" si="0"/>
        <v>0</v>
      </c>
      <c r="M33" s="26">
        <f t="shared" si="0"/>
        <v>-20556.966410999998</v>
      </c>
      <c r="N33" s="26">
        <f t="shared" si="0"/>
        <v>0</v>
      </c>
      <c r="O33" s="20">
        <f t="shared" si="0"/>
        <v>0</v>
      </c>
      <c r="P33" s="20">
        <f t="shared" si="0"/>
        <v>0</v>
      </c>
      <c r="Q33" s="20">
        <f t="shared" si="0"/>
        <v>0</v>
      </c>
      <c r="R33" s="20">
        <f t="shared" si="0"/>
        <v>0</v>
      </c>
      <c r="S33" s="20">
        <f t="shared" si="0"/>
        <v>5.2399999913177453E-4</v>
      </c>
      <c r="T33" s="20">
        <f t="shared" si="0"/>
        <v>0</v>
      </c>
      <c r="V33" s="20">
        <f>V19-V4</f>
        <v>7.0000000960135367E-6</v>
      </c>
      <c r="W33" s="20">
        <f t="shared" ref="W33:AG33" si="1">W19-W4</f>
        <v>0</v>
      </c>
      <c r="X33" s="20">
        <f t="shared" si="1"/>
        <v>0</v>
      </c>
      <c r="Y33" s="20">
        <f t="shared" si="1"/>
        <v>0</v>
      </c>
      <c r="Z33" s="20">
        <f t="shared" si="1"/>
        <v>0</v>
      </c>
      <c r="AA33" s="20">
        <f t="shared" si="1"/>
        <v>0</v>
      </c>
      <c r="AB33" s="20">
        <f t="shared" si="1"/>
        <v>0</v>
      </c>
      <c r="AC33" s="20">
        <f t="shared" si="1"/>
        <v>0</v>
      </c>
      <c r="AD33" s="20">
        <f t="shared" si="1"/>
        <v>0</v>
      </c>
      <c r="AE33" s="20">
        <f t="shared" si="1"/>
        <v>0</v>
      </c>
      <c r="AF33" s="20">
        <f t="shared" si="1"/>
        <v>0</v>
      </c>
      <c r="AG33" s="20">
        <f t="shared" si="1"/>
        <v>0</v>
      </c>
    </row>
    <row r="34" spans="1:33" x14ac:dyDescent="0.25">
      <c r="B34" s="20">
        <v>11.830883199104001</v>
      </c>
      <c r="C34" s="20">
        <v>-4.9999999999999997E-12</v>
      </c>
      <c r="D34" s="20">
        <v>-224.85288008862599</v>
      </c>
      <c r="E34" s="20">
        <v>0</v>
      </c>
      <c r="F34" s="20">
        <v>-51602.963640587797</v>
      </c>
      <c r="G34" s="20">
        <v>0</v>
      </c>
      <c r="I34" s="20">
        <f t="shared" ref="I34:T34" si="2">I20-I5</f>
        <v>0</v>
      </c>
      <c r="J34" s="20">
        <f t="shared" si="2"/>
        <v>8.0000000082236511E-6</v>
      </c>
      <c r="K34" s="20">
        <f t="shared" si="2"/>
        <v>0</v>
      </c>
      <c r="L34" s="26">
        <f t="shared" si="2"/>
        <v>20556.968876000003</v>
      </c>
      <c r="M34" s="26">
        <f t="shared" si="2"/>
        <v>0</v>
      </c>
      <c r="N34" s="26">
        <f t="shared" si="2"/>
        <v>522.64239799999632</v>
      </c>
      <c r="O34" s="20">
        <f t="shared" si="2"/>
        <v>0</v>
      </c>
      <c r="P34" s="20">
        <f t="shared" si="2"/>
        <v>0</v>
      </c>
      <c r="Q34" s="20">
        <f t="shared" si="2"/>
        <v>0</v>
      </c>
      <c r="R34" s="20">
        <f t="shared" si="2"/>
        <v>-5.2399999913177453E-4</v>
      </c>
      <c r="S34" s="20">
        <f t="shared" si="2"/>
        <v>0</v>
      </c>
      <c r="T34" s="20">
        <f t="shared" si="2"/>
        <v>0</v>
      </c>
      <c r="V34" s="20">
        <f t="shared" ref="V34:AG34" si="3">V20-V5</f>
        <v>0</v>
      </c>
      <c r="W34" s="20">
        <f t="shared" si="3"/>
        <v>7.0000000960135367E-6</v>
      </c>
      <c r="X34" s="20">
        <f t="shared" si="3"/>
        <v>0</v>
      </c>
      <c r="Y34" s="20">
        <f t="shared" si="3"/>
        <v>0</v>
      </c>
      <c r="Z34" s="20">
        <f t="shared" si="3"/>
        <v>0</v>
      </c>
      <c r="AA34" s="20">
        <f t="shared" si="3"/>
        <v>0</v>
      </c>
      <c r="AB34" s="20">
        <f t="shared" si="3"/>
        <v>0</v>
      </c>
      <c r="AC34" s="20">
        <f t="shared" si="3"/>
        <v>0</v>
      </c>
      <c r="AD34" s="20">
        <f t="shared" si="3"/>
        <v>0</v>
      </c>
      <c r="AE34" s="20">
        <f t="shared" si="3"/>
        <v>0</v>
      </c>
      <c r="AF34" s="20">
        <f t="shared" si="3"/>
        <v>0</v>
      </c>
      <c r="AG34" s="20">
        <f t="shared" si="3"/>
        <v>0</v>
      </c>
    </row>
    <row r="35" spans="1:33" x14ac:dyDescent="0.25">
      <c r="B35" s="20">
        <v>0</v>
      </c>
      <c r="C35" s="20">
        <v>1234.2138447842301</v>
      </c>
      <c r="D35" s="20">
        <v>0</v>
      </c>
      <c r="E35" s="20">
        <v>-797.55478088551001</v>
      </c>
      <c r="F35" s="20">
        <v>0</v>
      </c>
      <c r="G35" s="20">
        <v>-13086.743951189101</v>
      </c>
      <c r="I35" s="20">
        <f t="shared" ref="I35:T35" si="4">I21-I6</f>
        <v>4.9999999873762135E-6</v>
      </c>
      <c r="J35" s="20">
        <f t="shared" si="4"/>
        <v>0</v>
      </c>
      <c r="K35" s="20">
        <f t="shared" si="4"/>
        <v>-4.9999999873762135E-6</v>
      </c>
      <c r="L35" s="26">
        <f t="shared" si="4"/>
        <v>0</v>
      </c>
      <c r="M35" s="26">
        <f t="shared" si="4"/>
        <v>-522.66707800002769</v>
      </c>
      <c r="N35" s="26">
        <f t="shared" si="4"/>
        <v>0</v>
      </c>
      <c r="O35" s="20">
        <f t="shared" si="4"/>
        <v>0</v>
      </c>
      <c r="P35" s="20">
        <f t="shared" si="4"/>
        <v>0</v>
      </c>
      <c r="Q35" s="20">
        <f t="shared" si="4"/>
        <v>0</v>
      </c>
      <c r="R35" s="20">
        <f t="shared" si="4"/>
        <v>0</v>
      </c>
      <c r="S35" s="20">
        <f t="shared" si="4"/>
        <v>3.7000000020270818E-5</v>
      </c>
      <c r="T35" s="20">
        <f t="shared" si="4"/>
        <v>0</v>
      </c>
      <c r="V35" s="20">
        <f t="shared" ref="V35:AG35" si="5">V21-V6</f>
        <v>0</v>
      </c>
      <c r="W35" s="20">
        <f t="shared" si="5"/>
        <v>0</v>
      </c>
      <c r="X35" s="20">
        <f t="shared" si="5"/>
        <v>2.8999999926782039E-5</v>
      </c>
      <c r="Y35" s="20">
        <f t="shared" si="5"/>
        <v>0</v>
      </c>
      <c r="Z35" s="20">
        <f t="shared" si="5"/>
        <v>0</v>
      </c>
      <c r="AA35" s="20">
        <f t="shared" si="5"/>
        <v>0</v>
      </c>
      <c r="AB35" s="20">
        <f t="shared" si="5"/>
        <v>0</v>
      </c>
      <c r="AC35" s="20">
        <f t="shared" si="5"/>
        <v>0</v>
      </c>
      <c r="AD35" s="20">
        <f t="shared" si="5"/>
        <v>0</v>
      </c>
      <c r="AE35" s="20">
        <f t="shared" si="5"/>
        <v>0</v>
      </c>
      <c r="AF35" s="20">
        <f t="shared" si="5"/>
        <v>0</v>
      </c>
      <c r="AG35" s="20">
        <f t="shared" si="5"/>
        <v>0</v>
      </c>
    </row>
    <row r="36" spans="1:33" x14ac:dyDescent="0.25">
      <c r="I36" s="20">
        <f t="shared" ref="I36:T36" si="6">I22-I7</f>
        <v>0</v>
      </c>
      <c r="J36" s="20">
        <f t="shared" si="6"/>
        <v>1.5000000018972059E-5</v>
      </c>
      <c r="K36" s="20">
        <f t="shared" si="6"/>
        <v>0</v>
      </c>
      <c r="L36" s="20">
        <f t="shared" si="6"/>
        <v>-0.25530000000071595</v>
      </c>
      <c r="M36" s="20">
        <f t="shared" si="6"/>
        <v>0</v>
      </c>
      <c r="N36" s="20">
        <f t="shared" si="6"/>
        <v>7.0569000000432425E-2</v>
      </c>
      <c r="O36" s="20">
        <f t="shared" si="6"/>
        <v>0</v>
      </c>
      <c r="P36" s="20">
        <f t="shared" si="6"/>
        <v>0</v>
      </c>
      <c r="Q36" s="20">
        <f t="shared" si="6"/>
        <v>0</v>
      </c>
      <c r="R36" s="20">
        <f t="shared" si="6"/>
        <v>0</v>
      </c>
      <c r="S36" s="20">
        <f t="shared" si="6"/>
        <v>0</v>
      </c>
      <c r="T36" s="20">
        <f t="shared" si="6"/>
        <v>0</v>
      </c>
      <c r="V36" s="20">
        <f t="shared" ref="V36:AG36" si="7">V22-V7</f>
        <v>0</v>
      </c>
      <c r="W36" s="20">
        <f t="shared" si="7"/>
        <v>0</v>
      </c>
      <c r="X36" s="20">
        <f t="shared" si="7"/>
        <v>0</v>
      </c>
      <c r="Y36" s="20">
        <f t="shared" si="7"/>
        <v>0</v>
      </c>
      <c r="Z36" s="20">
        <f t="shared" si="7"/>
        <v>0</v>
      </c>
      <c r="AA36" s="20">
        <f t="shared" si="7"/>
        <v>0</v>
      </c>
      <c r="AB36" s="20">
        <f t="shared" si="7"/>
        <v>0</v>
      </c>
      <c r="AC36" s="20">
        <f t="shared" si="7"/>
        <v>0</v>
      </c>
      <c r="AD36" s="20">
        <f t="shared" si="7"/>
        <v>0</v>
      </c>
      <c r="AE36" s="20">
        <f t="shared" si="7"/>
        <v>0</v>
      </c>
      <c r="AF36" s="20">
        <f t="shared" si="7"/>
        <v>0</v>
      </c>
      <c r="AG36" s="20">
        <f t="shared" si="7"/>
        <v>0</v>
      </c>
    </row>
    <row r="37" spans="1:33" x14ac:dyDescent="0.25">
      <c r="I37" s="20">
        <f t="shared" ref="I37:T37" si="8">I23-I8</f>
        <v>3.0000000000307558E-6</v>
      </c>
      <c r="J37" s="20">
        <f t="shared" si="8"/>
        <v>0</v>
      </c>
      <c r="K37" s="20">
        <f t="shared" si="8"/>
        <v>-9.9999999747524271E-7</v>
      </c>
      <c r="L37" s="20">
        <f t="shared" si="8"/>
        <v>0</v>
      </c>
      <c r="M37" s="20">
        <f t="shared" si="8"/>
        <v>-0.62458999999944353</v>
      </c>
      <c r="N37" s="20">
        <f t="shared" si="8"/>
        <v>0</v>
      </c>
      <c r="O37" s="20">
        <f t="shared" si="8"/>
        <v>0</v>
      </c>
      <c r="P37" s="20">
        <f t="shared" si="8"/>
        <v>0</v>
      </c>
      <c r="Q37" s="20">
        <f t="shared" si="8"/>
        <v>0</v>
      </c>
      <c r="R37" s="20">
        <f t="shared" si="8"/>
        <v>0</v>
      </c>
      <c r="S37" s="20">
        <f t="shared" si="8"/>
        <v>0</v>
      </c>
      <c r="T37" s="20">
        <f t="shared" si="8"/>
        <v>0</v>
      </c>
      <c r="V37" s="20">
        <f t="shared" ref="V37:AG37" si="9">V23-V8</f>
        <v>0</v>
      </c>
      <c r="W37" s="20">
        <f t="shared" si="9"/>
        <v>0</v>
      </c>
      <c r="X37" s="20">
        <f t="shared" si="9"/>
        <v>0</v>
      </c>
      <c r="Y37" s="20">
        <f t="shared" si="9"/>
        <v>0</v>
      </c>
      <c r="Z37" s="20">
        <f t="shared" si="9"/>
        <v>0</v>
      </c>
      <c r="AA37" s="20">
        <f t="shared" si="9"/>
        <v>0</v>
      </c>
      <c r="AB37" s="20">
        <f t="shared" si="9"/>
        <v>0</v>
      </c>
      <c r="AC37" s="20">
        <f t="shared" si="9"/>
        <v>0</v>
      </c>
      <c r="AD37" s="20">
        <f t="shared" si="9"/>
        <v>0</v>
      </c>
      <c r="AE37" s="20">
        <f t="shared" si="9"/>
        <v>0</v>
      </c>
      <c r="AF37" s="20">
        <f t="shared" si="9"/>
        <v>0</v>
      </c>
      <c r="AG37" s="20">
        <f t="shared" si="9"/>
        <v>0</v>
      </c>
    </row>
    <row r="38" spans="1:33" x14ac:dyDescent="0.25">
      <c r="A38" s="47" t="s">
        <v>63</v>
      </c>
      <c r="B38" s="47"/>
      <c r="C38" s="47"/>
      <c r="D38" s="47"/>
      <c r="E38" s="47"/>
      <c r="F38" s="47"/>
      <c r="G38" s="47"/>
      <c r="I38" s="20">
        <f t="shared" ref="I38:T38" si="10">I24-I9</f>
        <v>0</v>
      </c>
      <c r="J38" s="20">
        <f t="shared" si="10"/>
        <v>-2.199999994445534E-5</v>
      </c>
      <c r="K38" s="20">
        <f t="shared" si="10"/>
        <v>0</v>
      </c>
      <c r="L38" s="20">
        <f t="shared" si="10"/>
        <v>-1.7460000000028231E-2</v>
      </c>
      <c r="M38" s="20">
        <f t="shared" si="10"/>
        <v>0</v>
      </c>
      <c r="N38" s="20">
        <f t="shared" si="10"/>
        <v>-0.1555160000007163</v>
      </c>
      <c r="O38" s="20">
        <f t="shared" si="10"/>
        <v>0</v>
      </c>
      <c r="P38" s="20">
        <f t="shared" si="10"/>
        <v>0</v>
      </c>
      <c r="Q38" s="20">
        <f t="shared" si="10"/>
        <v>0</v>
      </c>
      <c r="R38" s="20">
        <f t="shared" si="10"/>
        <v>0</v>
      </c>
      <c r="S38" s="20">
        <f t="shared" si="10"/>
        <v>0</v>
      </c>
      <c r="T38" s="20">
        <f t="shared" si="10"/>
        <v>0</v>
      </c>
      <c r="V38" s="20">
        <f t="shared" ref="V38:AG38" si="11">V24-V9</f>
        <v>0</v>
      </c>
      <c r="W38" s="20">
        <f t="shared" si="11"/>
        <v>0</v>
      </c>
      <c r="X38" s="20">
        <f t="shared" si="11"/>
        <v>0</v>
      </c>
      <c r="Y38" s="20">
        <f t="shared" si="11"/>
        <v>0</v>
      </c>
      <c r="Z38" s="20">
        <f t="shared" si="11"/>
        <v>0</v>
      </c>
      <c r="AA38" s="20">
        <f t="shared" si="11"/>
        <v>0</v>
      </c>
      <c r="AB38" s="20">
        <f t="shared" si="11"/>
        <v>0</v>
      </c>
      <c r="AC38" s="20">
        <f t="shared" si="11"/>
        <v>0</v>
      </c>
      <c r="AD38" s="20">
        <f t="shared" si="11"/>
        <v>0</v>
      </c>
      <c r="AE38" s="20">
        <f t="shared" si="11"/>
        <v>0</v>
      </c>
      <c r="AF38" s="20">
        <f t="shared" si="11"/>
        <v>0</v>
      </c>
      <c r="AG38" s="20">
        <f t="shared" si="11"/>
        <v>0</v>
      </c>
    </row>
    <row r="39" spans="1:33" x14ac:dyDescent="0.25">
      <c r="B39" s="20">
        <v>-2.4683609999999998</v>
      </c>
      <c r="C39" s="20">
        <v>0</v>
      </c>
      <c r="D39" s="20">
        <v>37.278377999999996</v>
      </c>
      <c r="E39" s="20">
        <v>0</v>
      </c>
      <c r="F39" s="20">
        <v>-17.566617999999998</v>
      </c>
      <c r="G39" s="20">
        <v>0</v>
      </c>
      <c r="I39" s="20">
        <f t="shared" ref="I39:T39" si="12">I25-I10</f>
        <v>0</v>
      </c>
      <c r="J39" s="20">
        <f t="shared" si="12"/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  <c r="O39" s="20">
        <f t="shared" si="12"/>
        <v>0</v>
      </c>
      <c r="P39" s="20">
        <f t="shared" si="12"/>
        <v>0</v>
      </c>
      <c r="Q39" s="20">
        <f t="shared" si="12"/>
        <v>0</v>
      </c>
      <c r="R39" s="20">
        <f t="shared" si="12"/>
        <v>0</v>
      </c>
      <c r="S39" s="20">
        <f t="shared" si="12"/>
        <v>32.217078999999998</v>
      </c>
      <c r="T39" s="20">
        <f t="shared" si="12"/>
        <v>0</v>
      </c>
      <c r="V39" s="20">
        <f t="shared" ref="V39:AG39" si="13">V25-V10</f>
        <v>0</v>
      </c>
      <c r="W39" s="20">
        <f t="shared" si="13"/>
        <v>0</v>
      </c>
      <c r="X39" s="20">
        <f t="shared" si="13"/>
        <v>0</v>
      </c>
      <c r="Y39" s="20">
        <f t="shared" si="13"/>
        <v>0</v>
      </c>
      <c r="Z39" s="20">
        <f t="shared" si="13"/>
        <v>0</v>
      </c>
      <c r="AA39" s="20">
        <f t="shared" si="13"/>
        <v>0</v>
      </c>
      <c r="AB39" s="20">
        <f t="shared" si="13"/>
        <v>0</v>
      </c>
      <c r="AC39" s="20">
        <f t="shared" si="13"/>
        <v>0</v>
      </c>
      <c r="AD39" s="20">
        <f t="shared" si="13"/>
        <v>0</v>
      </c>
      <c r="AE39" s="20">
        <f t="shared" si="13"/>
        <v>0</v>
      </c>
      <c r="AF39" s="20">
        <f t="shared" si="13"/>
        <v>0</v>
      </c>
      <c r="AG39" s="20">
        <f t="shared" si="13"/>
        <v>0</v>
      </c>
    </row>
    <row r="40" spans="1:33" x14ac:dyDescent="0.25">
      <c r="B40" s="20">
        <v>0</v>
      </c>
      <c r="C40" s="20">
        <v>-138.816788</v>
      </c>
      <c r="D40" s="20">
        <v>0</v>
      </c>
      <c r="E40" s="20">
        <v>185.72186300000001</v>
      </c>
      <c r="F40" s="20">
        <v>0</v>
      </c>
      <c r="G40" s="20">
        <v>975.46758999999997</v>
      </c>
      <c r="I40" s="20">
        <f t="shared" ref="I40:T40" si="14">I26-I11</f>
        <v>0</v>
      </c>
      <c r="J40" s="20">
        <f t="shared" si="14"/>
        <v>0</v>
      </c>
      <c r="K40" s="20">
        <f t="shared" si="14"/>
        <v>0</v>
      </c>
      <c r="L40" s="20">
        <f t="shared" si="14"/>
        <v>0</v>
      </c>
      <c r="M40" s="20">
        <f t="shared" si="14"/>
        <v>0</v>
      </c>
      <c r="N40" s="20">
        <f t="shared" si="14"/>
        <v>0</v>
      </c>
      <c r="O40" s="20">
        <f t="shared" si="14"/>
        <v>0</v>
      </c>
      <c r="P40" s="20">
        <f t="shared" si="14"/>
        <v>0</v>
      </c>
      <c r="Q40" s="20">
        <f t="shared" si="14"/>
        <v>0</v>
      </c>
      <c r="R40" s="20">
        <f t="shared" si="14"/>
        <v>-32.217078999999998</v>
      </c>
      <c r="S40" s="20">
        <f t="shared" si="14"/>
        <v>0</v>
      </c>
      <c r="T40" s="20">
        <f t="shared" si="14"/>
        <v>0.81909199999995508</v>
      </c>
      <c r="V40" s="20">
        <f t="shared" ref="V40:AG40" si="15">V26-V11</f>
        <v>0</v>
      </c>
      <c r="W40" s="20">
        <f t="shared" si="15"/>
        <v>0</v>
      </c>
      <c r="X40" s="20">
        <f t="shared" si="15"/>
        <v>0</v>
      </c>
      <c r="Y40" s="20">
        <f t="shared" si="15"/>
        <v>0</v>
      </c>
      <c r="Z40" s="20">
        <f t="shared" si="15"/>
        <v>0</v>
      </c>
      <c r="AA40" s="20">
        <f t="shared" si="15"/>
        <v>0</v>
      </c>
      <c r="AB40" s="20">
        <f t="shared" si="15"/>
        <v>0</v>
      </c>
      <c r="AC40" s="20">
        <f t="shared" si="15"/>
        <v>0</v>
      </c>
      <c r="AD40" s="20">
        <f t="shared" si="15"/>
        <v>0</v>
      </c>
      <c r="AE40" s="20">
        <f t="shared" si="15"/>
        <v>0</v>
      </c>
      <c r="AF40" s="20">
        <f t="shared" si="15"/>
        <v>0</v>
      </c>
      <c r="AG40" s="20">
        <f t="shared" si="15"/>
        <v>0</v>
      </c>
    </row>
    <row r="41" spans="1:33" x14ac:dyDescent="0.25">
      <c r="B41" s="20">
        <v>-78.385009999999994</v>
      </c>
      <c r="C41" s="20">
        <v>0</v>
      </c>
      <c r="D41" s="20">
        <v>-538.31732199999999</v>
      </c>
      <c r="E41" s="20">
        <v>0</v>
      </c>
      <c r="F41" s="20">
        <v>-2881.2192380000001</v>
      </c>
      <c r="G41" s="20">
        <v>0</v>
      </c>
      <c r="I41" s="20">
        <f t="shared" ref="I41:T41" si="16">I27-I12</f>
        <v>0</v>
      </c>
      <c r="J41" s="20">
        <f t="shared" si="16"/>
        <v>0</v>
      </c>
      <c r="K41" s="20">
        <f t="shared" si="16"/>
        <v>0</v>
      </c>
      <c r="L41" s="20">
        <f t="shared" si="16"/>
        <v>0</v>
      </c>
      <c r="M41" s="20">
        <f t="shared" si="16"/>
        <v>0</v>
      </c>
      <c r="N41" s="20">
        <f t="shared" si="16"/>
        <v>0</v>
      </c>
      <c r="O41" s="20">
        <f t="shared" si="16"/>
        <v>0</v>
      </c>
      <c r="P41" s="20">
        <f t="shared" si="16"/>
        <v>0</v>
      </c>
      <c r="Q41" s="20">
        <f t="shared" si="16"/>
        <v>0</v>
      </c>
      <c r="R41" s="20">
        <f t="shared" si="16"/>
        <v>0</v>
      </c>
      <c r="S41" s="20">
        <f t="shared" si="16"/>
        <v>-0.81909199999995508</v>
      </c>
      <c r="T41" s="20">
        <f t="shared" si="16"/>
        <v>0</v>
      </c>
      <c r="V41" s="20">
        <f t="shared" ref="V41:AG41" si="17">V27-V12</f>
        <v>0</v>
      </c>
      <c r="W41" s="20">
        <f t="shared" si="17"/>
        <v>0</v>
      </c>
      <c r="X41" s="20">
        <f t="shared" si="17"/>
        <v>0</v>
      </c>
      <c r="Y41" s="20">
        <f t="shared" si="17"/>
        <v>0</v>
      </c>
      <c r="Z41" s="20">
        <f t="shared" si="17"/>
        <v>0</v>
      </c>
      <c r="AA41" s="20">
        <f t="shared" si="17"/>
        <v>0</v>
      </c>
      <c r="AB41" s="20">
        <f t="shared" si="17"/>
        <v>0</v>
      </c>
      <c r="AC41" s="20">
        <f t="shared" si="17"/>
        <v>0</v>
      </c>
      <c r="AD41" s="20">
        <f t="shared" si="17"/>
        <v>0</v>
      </c>
      <c r="AE41" s="20">
        <f t="shared" si="17"/>
        <v>0</v>
      </c>
      <c r="AF41" s="20">
        <f t="shared" si="17"/>
        <v>0</v>
      </c>
      <c r="AG41" s="20">
        <f t="shared" si="17"/>
        <v>0</v>
      </c>
    </row>
    <row r="42" spans="1:33" x14ac:dyDescent="0.25">
      <c r="B42" s="20">
        <v>0</v>
      </c>
      <c r="C42" s="20">
        <v>-354.89782700000001</v>
      </c>
      <c r="D42" s="20">
        <v>0</v>
      </c>
      <c r="E42" s="20">
        <v>-21278.416015999999</v>
      </c>
      <c r="F42" s="20">
        <v>0</v>
      </c>
      <c r="G42" s="20">
        <v>5909.8208009999998</v>
      </c>
      <c r="I42" s="20">
        <f t="shared" ref="I42:T42" si="18">I28-I13</f>
        <v>0</v>
      </c>
      <c r="J42" s="20">
        <f t="shared" si="18"/>
        <v>0</v>
      </c>
      <c r="K42" s="20">
        <f t="shared" si="18"/>
        <v>0</v>
      </c>
      <c r="L42" s="20">
        <f t="shared" si="18"/>
        <v>0</v>
      </c>
      <c r="M42" s="20">
        <f t="shared" si="18"/>
        <v>0</v>
      </c>
      <c r="N42" s="20">
        <f t="shared" si="18"/>
        <v>0</v>
      </c>
      <c r="O42" s="20">
        <f t="shared" si="18"/>
        <v>0</v>
      </c>
      <c r="P42" s="20">
        <f t="shared" si="18"/>
        <v>0</v>
      </c>
      <c r="Q42" s="20">
        <f t="shared" si="18"/>
        <v>0</v>
      </c>
      <c r="R42" s="20">
        <f t="shared" si="18"/>
        <v>0</v>
      </c>
      <c r="S42" s="20">
        <f t="shared" si="18"/>
        <v>0</v>
      </c>
      <c r="T42" s="20">
        <f t="shared" si="18"/>
        <v>0</v>
      </c>
      <c r="V42" s="20">
        <f t="shared" ref="V42:AG42" si="19">V28-V13</f>
        <v>0</v>
      </c>
      <c r="W42" s="20">
        <f t="shared" si="19"/>
        <v>0</v>
      </c>
      <c r="X42" s="20">
        <f t="shared" si="19"/>
        <v>0</v>
      </c>
      <c r="Y42" s="20">
        <f t="shared" si="19"/>
        <v>0</v>
      </c>
      <c r="Z42" s="20">
        <f t="shared" si="19"/>
        <v>0</v>
      </c>
      <c r="AA42" s="20">
        <f t="shared" si="19"/>
        <v>0</v>
      </c>
      <c r="AB42" s="20">
        <f t="shared" si="19"/>
        <v>0</v>
      </c>
      <c r="AC42" s="20">
        <f t="shared" si="19"/>
        <v>0</v>
      </c>
      <c r="AD42" s="20">
        <f t="shared" si="19"/>
        <v>0</v>
      </c>
      <c r="AE42" s="20">
        <f t="shared" si="19"/>
        <v>0</v>
      </c>
      <c r="AF42" s="20">
        <f t="shared" si="19"/>
        <v>0</v>
      </c>
      <c r="AG42" s="20">
        <f t="shared" si="19"/>
        <v>0</v>
      </c>
    </row>
    <row r="43" spans="1:33" x14ac:dyDescent="0.25">
      <c r="B43" s="20">
        <v>0.38956499999999999</v>
      </c>
      <c r="C43" s="20">
        <v>0</v>
      </c>
      <c r="D43" s="20">
        <v>-225.16357400000001</v>
      </c>
      <c r="E43" s="20">
        <v>0</v>
      </c>
      <c r="F43" s="20">
        <v>-51602.964844000002</v>
      </c>
      <c r="G43" s="20">
        <v>0</v>
      </c>
      <c r="I43" s="20">
        <f t="shared" ref="I43:T43" si="20">I29-I14</f>
        <v>0</v>
      </c>
      <c r="J43" s="20">
        <f t="shared" si="20"/>
        <v>0</v>
      </c>
      <c r="K43" s="20">
        <f t="shared" si="20"/>
        <v>0</v>
      </c>
      <c r="L43" s="20">
        <f t="shared" si="20"/>
        <v>0</v>
      </c>
      <c r="M43" s="20">
        <f t="shared" si="20"/>
        <v>0</v>
      </c>
      <c r="N43" s="20">
        <f t="shared" si="20"/>
        <v>0</v>
      </c>
      <c r="O43" s="20">
        <f t="shared" si="20"/>
        <v>0</v>
      </c>
      <c r="P43" s="20">
        <f t="shared" si="20"/>
        <v>0</v>
      </c>
      <c r="Q43" s="20">
        <f t="shared" si="20"/>
        <v>0</v>
      </c>
      <c r="R43" s="20">
        <f t="shared" si="20"/>
        <v>0</v>
      </c>
      <c r="S43" s="20">
        <f t="shared" si="20"/>
        <v>0</v>
      </c>
      <c r="T43" s="20">
        <f t="shared" si="20"/>
        <v>0</v>
      </c>
      <c r="V43" s="20">
        <f t="shared" ref="V43:AG43" si="21">V29-V14</f>
        <v>0</v>
      </c>
      <c r="W43" s="20">
        <f t="shared" si="21"/>
        <v>0</v>
      </c>
      <c r="X43" s="20">
        <f t="shared" si="21"/>
        <v>0</v>
      </c>
      <c r="Y43" s="20">
        <f t="shared" si="21"/>
        <v>0</v>
      </c>
      <c r="Z43" s="20">
        <f t="shared" si="21"/>
        <v>0</v>
      </c>
      <c r="AA43" s="20">
        <f t="shared" si="21"/>
        <v>0</v>
      </c>
      <c r="AB43" s="20">
        <f t="shared" si="21"/>
        <v>0</v>
      </c>
      <c r="AC43" s="20">
        <f t="shared" si="21"/>
        <v>0</v>
      </c>
      <c r="AD43" s="20">
        <f t="shared" si="21"/>
        <v>0</v>
      </c>
      <c r="AE43" s="20">
        <f t="shared" si="21"/>
        <v>0</v>
      </c>
      <c r="AF43" s="20">
        <f t="shared" si="21"/>
        <v>0</v>
      </c>
      <c r="AG43" s="20">
        <f t="shared" si="21"/>
        <v>0</v>
      </c>
    </row>
    <row r="44" spans="1:33" x14ac:dyDescent="0.25">
      <c r="B44" s="20">
        <v>0</v>
      </c>
      <c r="C44" s="20">
        <v>1234.2138669999999</v>
      </c>
      <c r="D44" s="20">
        <v>0</v>
      </c>
      <c r="E44" s="20">
        <v>-1461.5349120000001</v>
      </c>
      <c r="F44" s="20">
        <v>0</v>
      </c>
      <c r="G44" s="20">
        <v>-13029.308594</v>
      </c>
      <c r="I44" s="20">
        <f t="shared" ref="I44:T44" si="22">I30-I15</f>
        <v>0</v>
      </c>
      <c r="J44" s="20">
        <f t="shared" si="22"/>
        <v>0</v>
      </c>
      <c r="K44" s="20">
        <f t="shared" si="22"/>
        <v>0</v>
      </c>
      <c r="L44" s="20">
        <f t="shared" si="22"/>
        <v>0</v>
      </c>
      <c r="M44" s="20">
        <f t="shared" si="22"/>
        <v>0</v>
      </c>
      <c r="N44" s="20">
        <f t="shared" si="22"/>
        <v>0</v>
      </c>
      <c r="O44" s="20">
        <f t="shared" si="22"/>
        <v>0</v>
      </c>
      <c r="P44" s="20">
        <f t="shared" si="22"/>
        <v>0</v>
      </c>
      <c r="Q44" s="20">
        <f t="shared" si="22"/>
        <v>0</v>
      </c>
      <c r="R44" s="20">
        <f t="shared" si="22"/>
        <v>0</v>
      </c>
      <c r="S44" s="20">
        <f t="shared" si="22"/>
        <v>0</v>
      </c>
      <c r="T44" s="20">
        <f t="shared" si="22"/>
        <v>0</v>
      </c>
      <c r="V44" s="20">
        <f t="shared" ref="V44:AG44" si="23">V30-V15</f>
        <v>0</v>
      </c>
      <c r="W44" s="20">
        <f t="shared" si="23"/>
        <v>0</v>
      </c>
      <c r="X44" s="20">
        <f t="shared" si="23"/>
        <v>0</v>
      </c>
      <c r="Y44" s="20">
        <f t="shared" si="23"/>
        <v>0</v>
      </c>
      <c r="Z44" s="20">
        <f t="shared" si="23"/>
        <v>0</v>
      </c>
      <c r="AA44" s="20">
        <f t="shared" si="23"/>
        <v>0</v>
      </c>
      <c r="AB44" s="20">
        <f t="shared" si="23"/>
        <v>0</v>
      </c>
      <c r="AC44" s="20">
        <f t="shared" si="23"/>
        <v>0</v>
      </c>
      <c r="AD44" s="20">
        <f t="shared" si="23"/>
        <v>0</v>
      </c>
      <c r="AE44" s="20">
        <f t="shared" si="23"/>
        <v>0</v>
      </c>
      <c r="AF44" s="20">
        <f t="shared" si="23"/>
        <v>0</v>
      </c>
      <c r="AG44" s="20">
        <f t="shared" si="23"/>
        <v>0</v>
      </c>
    </row>
    <row r="47" spans="1:33" x14ac:dyDescent="0.25">
      <c r="A47" s="47" t="s">
        <v>64</v>
      </c>
      <c r="B47" s="47"/>
      <c r="C47" s="47"/>
      <c r="D47" s="47"/>
      <c r="E47" s="47"/>
      <c r="F47" s="47"/>
      <c r="G47" s="47"/>
    </row>
    <row r="48" spans="1:33" x14ac:dyDescent="0.25">
      <c r="B48" s="20">
        <v>-2.4682943525550001</v>
      </c>
      <c r="C48" s="20">
        <v>-1.2000000000000001E-11</v>
      </c>
      <c r="D48" s="20">
        <v>37.278393436907997</v>
      </c>
      <c r="E48" s="20">
        <v>9.9999999999999998E-13</v>
      </c>
      <c r="F48" s="20">
        <v>-17.566381620994001</v>
      </c>
      <c r="G48" s="20">
        <v>9.9999999999999998E-13</v>
      </c>
    </row>
    <row r="49" spans="1:33" x14ac:dyDescent="0.25">
      <c r="B49" s="20">
        <v>0</v>
      </c>
      <c r="C49" s="20">
        <v>-138.816780054932</v>
      </c>
      <c r="D49" s="20">
        <v>0</v>
      </c>
      <c r="E49" s="20">
        <v>185.72409106902799</v>
      </c>
      <c r="F49" s="20">
        <v>0</v>
      </c>
      <c r="G49" s="20">
        <v>975.47923738398003</v>
      </c>
    </row>
    <row r="50" spans="1:33" x14ac:dyDescent="0.25">
      <c r="B50" s="20">
        <v>-78.385004753998004</v>
      </c>
      <c r="C50" s="20">
        <v>-3.9999999999999999E-12</v>
      </c>
      <c r="D50" s="20">
        <v>-538.31732724485403</v>
      </c>
      <c r="E50" s="20">
        <v>1.5E-11</v>
      </c>
      <c r="F50" s="20">
        <v>-2881.2539165383801</v>
      </c>
      <c r="G50" s="20">
        <v>3E-11</v>
      </c>
    </row>
    <row r="51" spans="1:33" x14ac:dyDescent="0.25">
      <c r="B51" s="20">
        <v>0</v>
      </c>
      <c r="C51" s="20">
        <v>-354.89781239787197</v>
      </c>
      <c r="D51" s="20">
        <v>0</v>
      </c>
      <c r="E51" s="20">
        <v>-21278.6713157417</v>
      </c>
      <c r="F51" s="20">
        <v>0</v>
      </c>
      <c r="G51" s="20">
        <v>5909.8913704992301</v>
      </c>
    </row>
    <row r="52" spans="1:33" x14ac:dyDescent="0.25">
      <c r="B52" s="20">
        <v>0.38956820985000001</v>
      </c>
      <c r="C52" s="20">
        <v>-4.9999999999999997E-12</v>
      </c>
      <c r="D52" s="20">
        <v>-225.16357546838799</v>
      </c>
      <c r="E52" s="20">
        <v>0</v>
      </c>
      <c r="F52" s="20">
        <v>-51603.589434374298</v>
      </c>
      <c r="G52" s="20">
        <v>0</v>
      </c>
    </row>
    <row r="53" spans="1:33" x14ac:dyDescent="0.25">
      <c r="B53" s="20">
        <v>0</v>
      </c>
      <c r="C53" s="20">
        <v>1234.2138447842301</v>
      </c>
      <c r="D53" s="20">
        <v>0</v>
      </c>
      <c r="E53" s="20">
        <v>-1461.55237220923</v>
      </c>
      <c r="F53" s="20">
        <v>0</v>
      </c>
      <c r="G53" s="20">
        <v>-13029.464109757</v>
      </c>
    </row>
    <row r="55" spans="1:33" s="46" customFormat="1" x14ac:dyDescent="0.25"/>
    <row r="56" spans="1:33" x14ac:dyDescent="0.25">
      <c r="A56" s="48" t="s">
        <v>123</v>
      </c>
      <c r="B56" s="48"/>
      <c r="C56" s="48"/>
      <c r="D56" s="48"/>
      <c r="E56" s="48"/>
      <c r="F56" s="48"/>
      <c r="G56" s="48"/>
    </row>
    <row r="57" spans="1:33" x14ac:dyDescent="0.25">
      <c r="A57" t="s">
        <v>59</v>
      </c>
      <c r="H57" t="s">
        <v>60</v>
      </c>
      <c r="U57" t="s">
        <v>67</v>
      </c>
    </row>
    <row r="58" spans="1:33" x14ac:dyDescent="0.25"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I58" s="47" t="s">
        <v>69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V58" s="47" t="s">
        <v>69</v>
      </c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</row>
    <row r="59" spans="1:33" x14ac:dyDescent="0.25"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I59" s="20">
        <v>-2.258597</v>
      </c>
      <c r="J59" s="20">
        <v>0</v>
      </c>
      <c r="K59" s="20">
        <v>36.882674999999999</v>
      </c>
      <c r="L59" s="20">
        <v>0</v>
      </c>
      <c r="M59" s="20">
        <v>-8.8273840000000003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-20973.595702999999</v>
      </c>
      <c r="T59">
        <v>0</v>
      </c>
      <c r="V59">
        <v>653.63952600000005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B60" t="s">
        <v>34</v>
      </c>
      <c r="C60" t="s">
        <v>35</v>
      </c>
      <c r="D60" t="s">
        <v>36</v>
      </c>
      <c r="E60" t="s">
        <v>37</v>
      </c>
      <c r="F60" t="s">
        <v>38</v>
      </c>
      <c r="G60" t="s">
        <v>39</v>
      </c>
      <c r="I60" s="20">
        <v>0</v>
      </c>
      <c r="J60" s="20">
        <v>-29.660872000000001</v>
      </c>
      <c r="K60" s="20">
        <v>0</v>
      </c>
      <c r="L60" s="20">
        <v>124.746208</v>
      </c>
      <c r="M60" s="20">
        <v>0</v>
      </c>
      <c r="N60" s="20">
        <v>-414451.125</v>
      </c>
      <c r="O60" s="20">
        <v>0</v>
      </c>
      <c r="P60" s="20">
        <v>0</v>
      </c>
      <c r="Q60" s="20">
        <v>0</v>
      </c>
      <c r="R60" s="20">
        <v>20973.595702999999</v>
      </c>
      <c r="S60" s="20">
        <v>0</v>
      </c>
      <c r="T60">
        <v>0</v>
      </c>
      <c r="V60">
        <v>0</v>
      </c>
      <c r="W60">
        <v>653.63952600000005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B61" t="s">
        <v>40</v>
      </c>
      <c r="C61" t="s">
        <v>43</v>
      </c>
      <c r="D61" t="s">
        <v>44</v>
      </c>
      <c r="E61" t="s">
        <v>45</v>
      </c>
      <c r="F61" t="s">
        <v>46</v>
      </c>
      <c r="G61" t="s">
        <v>47</v>
      </c>
      <c r="I61" s="20">
        <v>-80.295058999999995</v>
      </c>
      <c r="J61" s="20">
        <v>0</v>
      </c>
      <c r="K61" s="20">
        <v>-549.11419699999999</v>
      </c>
      <c r="L61" s="20">
        <v>0</v>
      </c>
      <c r="M61" s="20">
        <v>411376.46875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-1052.7520750000001</v>
      </c>
      <c r="T61">
        <v>0</v>
      </c>
      <c r="V61">
        <v>0</v>
      </c>
      <c r="W61">
        <v>0</v>
      </c>
      <c r="X61">
        <v>653.93994099999998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B62" t="s">
        <v>41</v>
      </c>
      <c r="C62" t="s">
        <v>48</v>
      </c>
      <c r="D62" t="s">
        <v>49</v>
      </c>
      <c r="E62" t="s">
        <v>50</v>
      </c>
      <c r="F62" t="s">
        <v>51</v>
      </c>
      <c r="G62" t="s">
        <v>52</v>
      </c>
      <c r="I62" s="20">
        <v>0</v>
      </c>
      <c r="J62" s="20">
        <v>-125.275131</v>
      </c>
      <c r="K62" s="20">
        <v>0</v>
      </c>
      <c r="L62" s="20">
        <v>-21328.824218999998</v>
      </c>
      <c r="M62" s="20">
        <v>0</v>
      </c>
      <c r="N62" s="20">
        <v>3320.7314449999999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>
        <v>0</v>
      </c>
      <c r="V62">
        <v>0</v>
      </c>
      <c r="W62">
        <v>0</v>
      </c>
      <c r="X62">
        <v>0</v>
      </c>
      <c r="Y62">
        <v>9280</v>
      </c>
      <c r="Z62">
        <v>0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B63" t="s">
        <v>42</v>
      </c>
      <c r="C63" t="s">
        <v>53</v>
      </c>
      <c r="D63" t="s">
        <v>54</v>
      </c>
      <c r="E63" t="s">
        <v>55</v>
      </c>
      <c r="F63" t="s">
        <v>56</v>
      </c>
      <c r="G63" t="s">
        <v>57</v>
      </c>
      <c r="I63" s="20">
        <v>0.40288099999999999</v>
      </c>
      <c r="J63" s="20">
        <v>0</v>
      </c>
      <c r="K63" s="20">
        <v>-311.72515900000002</v>
      </c>
      <c r="L63" s="20">
        <v>0</v>
      </c>
      <c r="M63" s="20">
        <v>-52255.332030999998</v>
      </c>
      <c r="N63" s="20">
        <v>-160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>
        <v>0</v>
      </c>
      <c r="V63">
        <v>0</v>
      </c>
      <c r="W63">
        <v>0</v>
      </c>
      <c r="X63">
        <v>3.9442539999999999</v>
      </c>
      <c r="Y63">
        <v>0</v>
      </c>
      <c r="Z63">
        <v>58127.054687999997</v>
      </c>
      <c r="AA63">
        <v>-160.58502200000001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I64" s="20">
        <v>0</v>
      </c>
      <c r="J64" s="20">
        <v>-145.92695599999999</v>
      </c>
      <c r="K64" s="20">
        <v>0</v>
      </c>
      <c r="L64" s="20">
        <v>-1149.6870120000001</v>
      </c>
      <c r="M64" s="20">
        <v>160</v>
      </c>
      <c r="N64" s="20">
        <v>837.61132799999996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>
        <v>0</v>
      </c>
      <c r="V64">
        <v>0</v>
      </c>
      <c r="W64">
        <v>0</v>
      </c>
      <c r="X64">
        <v>0</v>
      </c>
      <c r="Y64">
        <v>5</v>
      </c>
      <c r="Z64">
        <v>-160.58502200000001</v>
      </c>
      <c r="AA64">
        <v>65766.4375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I65" s="20">
        <v>0.99874300000000005</v>
      </c>
      <c r="J65" s="20">
        <v>0</v>
      </c>
      <c r="K65" s="20">
        <v>5.0131000000000002E-2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-31.783089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 s="47" t="s">
        <v>61</v>
      </c>
      <c r="B66" s="47"/>
      <c r="C66" s="47"/>
      <c r="D66" s="47"/>
      <c r="E66" s="47"/>
      <c r="F66" s="47"/>
      <c r="G66" s="47"/>
      <c r="I66" s="20">
        <v>0</v>
      </c>
      <c r="J66" s="20">
        <v>1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>
        <v>633.20281999999997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 s="44"/>
      <c r="B67">
        <v>-4.7457594089224102</v>
      </c>
      <c r="C67" s="45">
        <v>-5.0295217120014203E-9</v>
      </c>
      <c r="D67">
        <v>35.345392830528098</v>
      </c>
      <c r="E67">
        <v>0</v>
      </c>
      <c r="F67">
        <v>-16.320890786680899</v>
      </c>
      <c r="G67">
        <v>0</v>
      </c>
      <c r="H67" s="44"/>
      <c r="I67" s="20">
        <v>-5.0131000000000002E-2</v>
      </c>
      <c r="J67" s="20">
        <v>0</v>
      </c>
      <c r="K67" s="20">
        <v>0.99874300000000005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-633.20281999999997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</row>
    <row r="68" spans="1:33" x14ac:dyDescent="0.25">
      <c r="A68" s="44"/>
      <c r="B68">
        <v>0</v>
      </c>
      <c r="C68">
        <v>-27.148423942147499</v>
      </c>
      <c r="D68">
        <v>0</v>
      </c>
      <c r="E68">
        <v>114.76871963109301</v>
      </c>
      <c r="F68">
        <v>0</v>
      </c>
      <c r="G68">
        <v>-33.835471061098097</v>
      </c>
      <c r="H68" s="44"/>
      <c r="I68" s="20">
        <v>0</v>
      </c>
      <c r="J68" s="20">
        <v>0</v>
      </c>
      <c r="K68" s="20">
        <v>0</v>
      </c>
      <c r="L68" s="20">
        <v>1</v>
      </c>
      <c r="M68" s="20">
        <v>0</v>
      </c>
      <c r="N68" s="20">
        <v>5.0194000000000003E-2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</row>
    <row r="69" spans="1:33" x14ac:dyDescent="0.25">
      <c r="A69" s="44"/>
      <c r="B69">
        <v>-39.900400679171398</v>
      </c>
      <c r="C69" s="45">
        <v>-2.5245264668148498E-10</v>
      </c>
      <c r="D69">
        <v>-524.874867146626</v>
      </c>
      <c r="E69">
        <v>0</v>
      </c>
      <c r="F69">
        <v>-2881.9629536543098</v>
      </c>
      <c r="G69">
        <v>0</v>
      </c>
      <c r="H69" s="44"/>
      <c r="I69" s="20">
        <v>0</v>
      </c>
      <c r="J69" s="20">
        <v>0</v>
      </c>
      <c r="K69" s="20">
        <v>0</v>
      </c>
      <c r="L69" s="20">
        <v>0</v>
      </c>
      <c r="M69" s="20">
        <v>1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x14ac:dyDescent="0.25">
      <c r="A70" s="44"/>
      <c r="B70">
        <v>0</v>
      </c>
      <c r="C70">
        <v>-113.198316518947</v>
      </c>
      <c r="D70">
        <v>0</v>
      </c>
      <c r="E70">
        <v>-19398.867316690601</v>
      </c>
      <c r="F70">
        <v>0</v>
      </c>
      <c r="G70">
        <v>1632.7533654941301</v>
      </c>
      <c r="H70" s="44"/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1.0012589999999999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</row>
    <row r="71" spans="1:33" x14ac:dyDescent="0.25">
      <c r="A71" s="44"/>
      <c r="B71">
        <v>15.3658184662187</v>
      </c>
      <c r="C71" s="45">
        <v>-2.5245264668148498E-10</v>
      </c>
      <c r="D71">
        <v>-306.12757922851898</v>
      </c>
      <c r="E71">
        <v>0</v>
      </c>
      <c r="F71">
        <v>-47559.708206185896</v>
      </c>
      <c r="G71">
        <v>0</v>
      </c>
      <c r="H71" s="44"/>
    </row>
    <row r="72" spans="1:33" x14ac:dyDescent="0.25">
      <c r="A72" s="44"/>
      <c r="B72">
        <v>0</v>
      </c>
      <c r="C72">
        <v>-131.80485790142799</v>
      </c>
      <c r="D72">
        <v>0</v>
      </c>
      <c r="E72">
        <v>-1077.47354053349</v>
      </c>
      <c r="F72">
        <v>0</v>
      </c>
      <c r="G72">
        <v>705.13077178896503</v>
      </c>
      <c r="H72" s="44"/>
    </row>
    <row r="73" spans="1:33" x14ac:dyDescent="0.25">
      <c r="I73" s="47" t="s">
        <v>68</v>
      </c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V73" s="47" t="s">
        <v>68</v>
      </c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</row>
    <row r="74" spans="1:33" x14ac:dyDescent="0.25">
      <c r="I74" s="20">
        <v>-2.2585320000000002</v>
      </c>
      <c r="J74" s="20">
        <v>0</v>
      </c>
      <c r="K74" s="20">
        <v>36.882691999999999</v>
      </c>
      <c r="L74" s="20">
        <v>0</v>
      </c>
      <c r="M74" s="20">
        <v>-20783.509366999999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-20973.595613000001</v>
      </c>
      <c r="T74" s="20">
        <v>0</v>
      </c>
      <c r="V74">
        <v>653.63951199999997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 s="47" t="s">
        <v>58</v>
      </c>
      <c r="B75" s="47"/>
      <c r="C75" s="47"/>
      <c r="D75" s="47"/>
      <c r="E75" s="47"/>
      <c r="F75" s="47"/>
      <c r="G75" s="47"/>
      <c r="I75" s="20">
        <v>0</v>
      </c>
      <c r="J75" s="20">
        <v>-29.660869000000002</v>
      </c>
      <c r="K75" s="20">
        <v>0</v>
      </c>
      <c r="L75" s="20">
        <v>20899.430038999999</v>
      </c>
      <c r="M75" s="20">
        <v>0</v>
      </c>
      <c r="N75" s="20">
        <v>-413930.08018799999</v>
      </c>
      <c r="O75" s="20">
        <v>0</v>
      </c>
      <c r="P75" s="20">
        <v>0</v>
      </c>
      <c r="Q75" s="20">
        <v>0</v>
      </c>
      <c r="R75" s="20">
        <v>20973.595613000001</v>
      </c>
      <c r="S75" s="20">
        <v>0</v>
      </c>
      <c r="T75" s="20">
        <v>0</v>
      </c>
      <c r="V75">
        <v>0</v>
      </c>
      <c r="W75">
        <v>653.63951199999997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B76" s="20">
        <v>-4.8131270512639999</v>
      </c>
      <c r="C76" s="20">
        <v>-4.8490000000000001E-9</v>
      </c>
      <c r="D76" s="20">
        <v>36.687533720303001</v>
      </c>
      <c r="E76" s="20">
        <v>0</v>
      </c>
      <c r="F76" s="20">
        <v>-8.8272792403690001</v>
      </c>
      <c r="G76" s="20">
        <v>0</v>
      </c>
      <c r="I76" s="20">
        <v>-80.295055000000005</v>
      </c>
      <c r="J76" s="20">
        <v>0</v>
      </c>
      <c r="K76" s="20">
        <v>-549.11419599999999</v>
      </c>
      <c r="L76" s="20">
        <v>0</v>
      </c>
      <c r="M76" s="20">
        <v>410855.383738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-1052.7521360000001</v>
      </c>
      <c r="T76" s="20">
        <v>0</v>
      </c>
      <c r="V76">
        <v>0</v>
      </c>
      <c r="W76">
        <v>0</v>
      </c>
      <c r="X76">
        <v>653.93991200000005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B77" s="20">
        <v>0</v>
      </c>
      <c r="C77" s="20">
        <v>-29.6608686844</v>
      </c>
      <c r="D77" s="20">
        <v>0</v>
      </c>
      <c r="E77" s="20">
        <v>126.779332206372</v>
      </c>
      <c r="F77" s="20">
        <v>0</v>
      </c>
      <c r="G77" s="20">
        <v>-37.376372584815002</v>
      </c>
      <c r="I77" s="20">
        <v>0</v>
      </c>
      <c r="J77" s="20">
        <v>-125.275131</v>
      </c>
      <c r="K77" s="20">
        <v>0</v>
      </c>
      <c r="L77" s="20">
        <v>-21329.083737000001</v>
      </c>
      <c r="M77" s="20">
        <v>0</v>
      </c>
      <c r="N77" s="20">
        <v>3320.7718020000002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V77">
        <v>0</v>
      </c>
      <c r="W77">
        <v>0</v>
      </c>
      <c r="X77">
        <v>0</v>
      </c>
      <c r="Y77">
        <v>9280</v>
      </c>
      <c r="Z77">
        <v>0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B78" s="20">
        <v>-38.551898855277003</v>
      </c>
      <c r="C78" s="20">
        <v>-2.4399999999999998E-10</v>
      </c>
      <c r="D78" s="20">
        <v>-551.74057559182199</v>
      </c>
      <c r="E78" s="20">
        <v>9.9999999999999994E-12</v>
      </c>
      <c r="F78" s="20">
        <v>-3030.9745130969</v>
      </c>
      <c r="G78" s="20">
        <v>1.9999999999999999E-11</v>
      </c>
      <c r="I78" s="20">
        <v>0.40288400000000002</v>
      </c>
      <c r="J78" s="20">
        <v>0</v>
      </c>
      <c r="K78" s="20">
        <v>-311.72515499999997</v>
      </c>
      <c r="L78" s="20">
        <v>0</v>
      </c>
      <c r="M78" s="20">
        <v>-52255.965064000004</v>
      </c>
      <c r="N78" s="20">
        <v>-160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V78">
        <v>0</v>
      </c>
      <c r="W78">
        <v>0</v>
      </c>
      <c r="X78">
        <v>3.9442550000000001</v>
      </c>
      <c r="Y78">
        <v>0</v>
      </c>
      <c r="Z78">
        <v>58127.053979999997</v>
      </c>
      <c r="AA78">
        <v>-160.58502100000001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B79" s="20">
        <v>0</v>
      </c>
      <c r="C79" s="20">
        <v>-125.27513107750001</v>
      </c>
      <c r="D79" s="20">
        <v>0</v>
      </c>
      <c r="E79" s="20">
        <v>-21468.478689315602</v>
      </c>
      <c r="F79" s="20">
        <v>0</v>
      </c>
      <c r="G79" s="20">
        <v>2247.3196863368198</v>
      </c>
      <c r="I79" s="20">
        <v>0</v>
      </c>
      <c r="J79" s="20">
        <v>-145.92696599999999</v>
      </c>
      <c r="K79" s="20">
        <v>0</v>
      </c>
      <c r="L79" s="20">
        <v>-1149.7009410000001</v>
      </c>
      <c r="M79" s="20">
        <v>160</v>
      </c>
      <c r="N79" s="20">
        <v>837.62146900000005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V79">
        <v>0</v>
      </c>
      <c r="W79">
        <v>0</v>
      </c>
      <c r="X79">
        <v>0</v>
      </c>
      <c r="Y79">
        <v>5</v>
      </c>
      <c r="Z79">
        <v>-160.58502100000001</v>
      </c>
      <c r="AA79">
        <v>65766.437672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B80" s="20">
        <v>15.627110542171</v>
      </c>
      <c r="C80" s="20">
        <v>-2.4399999999999998E-10</v>
      </c>
      <c r="D80" s="20">
        <v>-311.33320565605197</v>
      </c>
      <c r="E80" s="20">
        <v>0</v>
      </c>
      <c r="F80" s="20">
        <v>-52255.331389343402</v>
      </c>
      <c r="G80" s="20">
        <v>0</v>
      </c>
      <c r="I80" s="20">
        <v>0.99874300000000005</v>
      </c>
      <c r="J80" s="20">
        <v>0</v>
      </c>
      <c r="K80" s="20">
        <v>5.0131000000000002E-2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B81" s="20">
        <v>0</v>
      </c>
      <c r="C81" s="20">
        <v>-145.926965604549</v>
      </c>
      <c r="D81" s="20">
        <v>0</v>
      </c>
      <c r="E81" s="20">
        <v>-1190.23176679112</v>
      </c>
      <c r="F81" s="20">
        <v>0</v>
      </c>
      <c r="G81" s="20">
        <v>778.92311296071296</v>
      </c>
      <c r="I81" s="20">
        <v>0</v>
      </c>
      <c r="J81" s="20">
        <v>1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-31.783087999999999</v>
      </c>
      <c r="S81" s="20">
        <v>0</v>
      </c>
      <c r="T81" s="20">
        <v>634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I82" s="20">
        <v>-5.0131000000000002E-2</v>
      </c>
      <c r="J82" s="20">
        <v>0</v>
      </c>
      <c r="K82" s="20">
        <v>0.99874300000000005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-634</v>
      </c>
      <c r="T82" s="20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</row>
    <row r="83" spans="1:33" x14ac:dyDescent="0.25">
      <c r="I83" s="20">
        <v>0</v>
      </c>
      <c r="J83" s="20">
        <v>0</v>
      </c>
      <c r="K83" s="20">
        <v>0</v>
      </c>
      <c r="L83" s="20">
        <v>1</v>
      </c>
      <c r="M83" s="20">
        <v>0</v>
      </c>
      <c r="N83" s="20">
        <v>5.0194000000000003E-2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</row>
    <row r="84" spans="1:33" x14ac:dyDescent="0.25">
      <c r="A84" s="47" t="s">
        <v>62</v>
      </c>
      <c r="B84" s="47"/>
      <c r="C84" s="47"/>
      <c r="D84" s="47"/>
      <c r="E84" s="47"/>
      <c r="F84" s="47"/>
      <c r="G84" s="47"/>
      <c r="I84" s="20">
        <v>0</v>
      </c>
      <c r="J84" s="20">
        <v>0</v>
      </c>
      <c r="K84" s="20">
        <v>0</v>
      </c>
      <c r="L84" s="20">
        <v>0</v>
      </c>
      <c r="M84" s="20">
        <v>1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</row>
    <row r="85" spans="1:33" x14ac:dyDescent="0.25">
      <c r="B85" s="20">
        <v>-4.1046603102379997</v>
      </c>
      <c r="C85" s="20">
        <v>-5.0289999999999999E-9</v>
      </c>
      <c r="D85" s="20">
        <v>36.723094537453001</v>
      </c>
      <c r="E85" s="20">
        <v>0</v>
      </c>
      <c r="F85" s="20">
        <v>-8.8272792403690001</v>
      </c>
      <c r="G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1.0012589999999999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 x14ac:dyDescent="0.25">
      <c r="B86" s="20">
        <v>0</v>
      </c>
      <c r="C86" s="20">
        <v>-29.660868685109001</v>
      </c>
      <c r="D86" s="20">
        <v>0</v>
      </c>
      <c r="E86" s="20">
        <v>126.779332206372</v>
      </c>
      <c r="F86" s="20">
        <v>0</v>
      </c>
      <c r="G86" s="20">
        <v>-37.376372584815002</v>
      </c>
    </row>
    <row r="87" spans="1:33" x14ac:dyDescent="0.25">
      <c r="B87" s="20">
        <v>-52.666422461640003</v>
      </c>
      <c r="C87" s="20">
        <v>-2.5799999999999999E-10</v>
      </c>
      <c r="D87" s="20">
        <v>-552.44904185439304</v>
      </c>
      <c r="E87" s="20">
        <v>9.9999999999999994E-12</v>
      </c>
      <c r="F87" s="20">
        <v>-3030.9745130969</v>
      </c>
      <c r="G87" s="20">
        <v>1.9999999999999999E-11</v>
      </c>
      <c r="I87" s="47" t="s">
        <v>70</v>
      </c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</row>
    <row r="88" spans="1:33" x14ac:dyDescent="0.25">
      <c r="B88" s="20">
        <v>0</v>
      </c>
      <c r="C88" s="20">
        <v>-125.275131077483</v>
      </c>
      <c r="D88" s="20">
        <v>0</v>
      </c>
      <c r="E88" s="20">
        <v>-21468.478689315602</v>
      </c>
      <c r="F88" s="20">
        <v>0</v>
      </c>
      <c r="G88" s="20">
        <v>2247.3196863368198</v>
      </c>
      <c r="I88" s="20">
        <f>I74-I59</f>
        <v>6.4999999999759694E-5</v>
      </c>
      <c r="J88" s="20">
        <f t="shared" ref="J88:AG88" si="24">J74-J59</f>
        <v>0</v>
      </c>
      <c r="K88" s="20">
        <f t="shared" si="24"/>
        <v>1.699999999971169E-5</v>
      </c>
      <c r="L88" s="26">
        <f t="shared" si="24"/>
        <v>0</v>
      </c>
      <c r="M88" s="26">
        <f t="shared" si="24"/>
        <v>-20774.681982999999</v>
      </c>
      <c r="N88" s="26">
        <f t="shared" si="24"/>
        <v>0</v>
      </c>
      <c r="O88" s="20">
        <f t="shared" si="24"/>
        <v>0</v>
      </c>
      <c r="P88" s="20">
        <f t="shared" si="24"/>
        <v>0</v>
      </c>
      <c r="Q88" s="20">
        <f t="shared" si="24"/>
        <v>0</v>
      </c>
      <c r="R88" s="20">
        <f t="shared" si="24"/>
        <v>0</v>
      </c>
      <c r="S88" s="20">
        <f t="shared" si="24"/>
        <v>8.9999997726408765E-5</v>
      </c>
      <c r="T88" s="20">
        <f t="shared" si="24"/>
        <v>0</v>
      </c>
      <c r="U88" s="20"/>
      <c r="V88" s="20">
        <f t="shared" si="24"/>
        <v>-1.4000000078340236E-5</v>
      </c>
      <c r="W88" s="20">
        <f t="shared" si="24"/>
        <v>0</v>
      </c>
      <c r="X88" s="20">
        <f t="shared" si="24"/>
        <v>0</v>
      </c>
      <c r="Y88" s="20">
        <f t="shared" si="24"/>
        <v>0</v>
      </c>
      <c r="Z88" s="20">
        <f t="shared" si="24"/>
        <v>0</v>
      </c>
      <c r="AA88" s="20">
        <f t="shared" si="24"/>
        <v>0</v>
      </c>
      <c r="AB88" s="20">
        <f t="shared" si="24"/>
        <v>0</v>
      </c>
      <c r="AC88" s="20">
        <f t="shared" si="24"/>
        <v>0</v>
      </c>
      <c r="AD88" s="20">
        <f t="shared" si="24"/>
        <v>0</v>
      </c>
      <c r="AE88" s="20">
        <f t="shared" si="24"/>
        <v>0</v>
      </c>
      <c r="AF88" s="20">
        <f t="shared" si="24"/>
        <v>0</v>
      </c>
      <c r="AG88" s="20">
        <f t="shared" si="24"/>
        <v>0</v>
      </c>
    </row>
    <row r="89" spans="1:33" x14ac:dyDescent="0.25">
      <c r="B89" s="20">
        <v>16.029488079728001</v>
      </c>
      <c r="C89" s="20">
        <v>-2.5599999999999999E-10</v>
      </c>
      <c r="D89" s="20">
        <v>-311.31300980131198</v>
      </c>
      <c r="E89" s="20">
        <v>0</v>
      </c>
      <c r="F89" s="20">
        <v>-52255.331389343402</v>
      </c>
      <c r="G89" s="20">
        <v>0</v>
      </c>
      <c r="I89" s="20">
        <f t="shared" ref="I89:T99" si="25">I75-I60</f>
        <v>0</v>
      </c>
      <c r="J89" s="20">
        <f t="shared" si="25"/>
        <v>2.9999999995311555E-6</v>
      </c>
      <c r="K89" s="20">
        <f t="shared" si="25"/>
        <v>0</v>
      </c>
      <c r="L89" s="26">
        <f t="shared" si="25"/>
        <v>20774.683830999998</v>
      </c>
      <c r="M89" s="26">
        <f t="shared" si="25"/>
        <v>0</v>
      </c>
      <c r="N89" s="26">
        <f t="shared" si="25"/>
        <v>521.04481200000737</v>
      </c>
      <c r="O89" s="20">
        <f t="shared" si="25"/>
        <v>0</v>
      </c>
      <c r="P89" s="20">
        <f t="shared" si="25"/>
        <v>0</v>
      </c>
      <c r="Q89" s="20">
        <f t="shared" si="25"/>
        <v>0</v>
      </c>
      <c r="R89" s="20">
        <f t="shared" si="25"/>
        <v>-8.9999997726408765E-5</v>
      </c>
      <c r="S89" s="20">
        <f t="shared" si="25"/>
        <v>0</v>
      </c>
      <c r="T89" s="20">
        <f t="shared" si="25"/>
        <v>0</v>
      </c>
      <c r="V89" s="20">
        <f t="shared" ref="V89:AG89" si="26">V75-V60</f>
        <v>0</v>
      </c>
      <c r="W89" s="20">
        <f t="shared" si="26"/>
        <v>-1.4000000078340236E-5</v>
      </c>
      <c r="X89" s="20">
        <f t="shared" si="26"/>
        <v>0</v>
      </c>
      <c r="Y89" s="20">
        <f t="shared" si="26"/>
        <v>0</v>
      </c>
      <c r="Z89" s="20">
        <f t="shared" si="26"/>
        <v>0</v>
      </c>
      <c r="AA89" s="20">
        <f t="shared" si="26"/>
        <v>0</v>
      </c>
      <c r="AB89" s="20">
        <f t="shared" si="26"/>
        <v>0</v>
      </c>
      <c r="AC89" s="20">
        <f t="shared" si="26"/>
        <v>0</v>
      </c>
      <c r="AD89" s="20">
        <f t="shared" si="26"/>
        <v>0</v>
      </c>
      <c r="AE89" s="20">
        <f t="shared" si="26"/>
        <v>0</v>
      </c>
      <c r="AF89" s="20">
        <f t="shared" si="26"/>
        <v>0</v>
      </c>
      <c r="AG89" s="20">
        <f t="shared" si="26"/>
        <v>0</v>
      </c>
    </row>
    <row r="90" spans="1:33" x14ac:dyDescent="0.25">
      <c r="B90" s="20">
        <v>0</v>
      </c>
      <c r="C90" s="20">
        <v>-145.926965603817</v>
      </c>
      <c r="D90" s="20">
        <v>0</v>
      </c>
      <c r="E90" s="20">
        <v>-1190.23176679112</v>
      </c>
      <c r="F90" s="20">
        <v>0</v>
      </c>
      <c r="G90" s="20">
        <v>778.92311296071296</v>
      </c>
      <c r="I90" s="20">
        <f t="shared" si="25"/>
        <v>3.9999999899009708E-6</v>
      </c>
      <c r="J90" s="20">
        <f t="shared" si="25"/>
        <v>0</v>
      </c>
      <c r="K90" s="20">
        <f t="shared" si="25"/>
        <v>9.9999999747524271E-7</v>
      </c>
      <c r="L90" s="26">
        <f t="shared" si="25"/>
        <v>0</v>
      </c>
      <c r="M90" s="26">
        <f t="shared" si="25"/>
        <v>-521.08501199999591</v>
      </c>
      <c r="N90" s="26">
        <f t="shared" si="25"/>
        <v>0</v>
      </c>
      <c r="O90" s="20">
        <f t="shared" si="25"/>
        <v>0</v>
      </c>
      <c r="P90" s="20">
        <f t="shared" si="25"/>
        <v>0</v>
      </c>
      <c r="Q90" s="20">
        <f t="shared" si="25"/>
        <v>0</v>
      </c>
      <c r="R90" s="20">
        <f t="shared" si="25"/>
        <v>0</v>
      </c>
      <c r="S90" s="20">
        <f t="shared" si="25"/>
        <v>-6.0999999959676643E-5</v>
      </c>
      <c r="T90" s="20">
        <f t="shared" si="25"/>
        <v>0</v>
      </c>
      <c r="V90" s="20">
        <f t="shared" ref="V90:AG90" si="27">V76-V61</f>
        <v>0</v>
      </c>
      <c r="W90" s="20">
        <f t="shared" si="27"/>
        <v>0</v>
      </c>
      <c r="X90" s="20">
        <f t="shared" si="27"/>
        <v>-2.8999999926782039E-5</v>
      </c>
      <c r="Y90" s="20">
        <f t="shared" si="27"/>
        <v>0</v>
      </c>
      <c r="Z90" s="20">
        <f t="shared" si="27"/>
        <v>0</v>
      </c>
      <c r="AA90" s="20">
        <f t="shared" si="27"/>
        <v>0</v>
      </c>
      <c r="AB90" s="20">
        <f t="shared" si="27"/>
        <v>0</v>
      </c>
      <c r="AC90" s="20">
        <f t="shared" si="27"/>
        <v>0</v>
      </c>
      <c r="AD90" s="20">
        <f t="shared" si="27"/>
        <v>0</v>
      </c>
      <c r="AE90" s="20">
        <f t="shared" si="27"/>
        <v>0</v>
      </c>
      <c r="AF90" s="20">
        <f t="shared" si="27"/>
        <v>0</v>
      </c>
      <c r="AG90" s="20">
        <f t="shared" si="27"/>
        <v>0</v>
      </c>
    </row>
    <row r="91" spans="1:33" x14ac:dyDescent="0.25">
      <c r="I91" s="20">
        <f t="shared" si="25"/>
        <v>0</v>
      </c>
      <c r="J91" s="20">
        <f t="shared" si="25"/>
        <v>0</v>
      </c>
      <c r="K91" s="20">
        <f t="shared" si="25"/>
        <v>0</v>
      </c>
      <c r="L91" s="20">
        <f t="shared" si="25"/>
        <v>-0.25951800000257208</v>
      </c>
      <c r="M91" s="20">
        <f t="shared" si="25"/>
        <v>0</v>
      </c>
      <c r="N91" s="20">
        <f t="shared" si="25"/>
        <v>4.0357000000312837E-2</v>
      </c>
      <c r="O91" s="20">
        <f t="shared" si="25"/>
        <v>0</v>
      </c>
      <c r="P91" s="20">
        <f t="shared" si="25"/>
        <v>0</v>
      </c>
      <c r="Q91" s="20">
        <f t="shared" si="25"/>
        <v>0</v>
      </c>
      <c r="R91" s="20">
        <f t="shared" si="25"/>
        <v>0</v>
      </c>
      <c r="S91" s="20">
        <f t="shared" si="25"/>
        <v>0</v>
      </c>
      <c r="T91" s="20">
        <f t="shared" si="25"/>
        <v>0</v>
      </c>
      <c r="V91" s="20">
        <f t="shared" ref="V91:AG91" si="28">V77-V62</f>
        <v>0</v>
      </c>
      <c r="W91" s="20">
        <f t="shared" si="28"/>
        <v>0</v>
      </c>
      <c r="X91" s="20">
        <f t="shared" si="28"/>
        <v>0</v>
      </c>
      <c r="Y91" s="20">
        <f t="shared" si="28"/>
        <v>0</v>
      </c>
      <c r="Z91" s="20">
        <f t="shared" si="28"/>
        <v>0</v>
      </c>
      <c r="AA91" s="20">
        <f t="shared" si="28"/>
        <v>0</v>
      </c>
      <c r="AB91" s="20">
        <f t="shared" si="28"/>
        <v>0</v>
      </c>
      <c r="AC91" s="20">
        <f t="shared" si="28"/>
        <v>0</v>
      </c>
      <c r="AD91" s="20">
        <f t="shared" si="28"/>
        <v>0</v>
      </c>
      <c r="AE91" s="20">
        <f t="shared" si="28"/>
        <v>0</v>
      </c>
      <c r="AF91" s="20">
        <f t="shared" si="28"/>
        <v>0</v>
      </c>
      <c r="AG91" s="20">
        <f t="shared" si="28"/>
        <v>0</v>
      </c>
    </row>
    <row r="92" spans="1:33" x14ac:dyDescent="0.25">
      <c r="I92" s="20">
        <f t="shared" si="25"/>
        <v>3.0000000000307558E-6</v>
      </c>
      <c r="J92" s="20">
        <f t="shared" si="25"/>
        <v>0</v>
      </c>
      <c r="K92" s="20">
        <f t="shared" si="25"/>
        <v>4.0000000467443897E-6</v>
      </c>
      <c r="L92" s="20">
        <f t="shared" si="25"/>
        <v>0</v>
      </c>
      <c r="M92" s="20">
        <f t="shared" si="25"/>
        <v>-0.63303300000552554</v>
      </c>
      <c r="N92" s="20">
        <f t="shared" si="25"/>
        <v>0</v>
      </c>
      <c r="O92" s="20">
        <f t="shared" si="25"/>
        <v>0</v>
      </c>
      <c r="P92" s="20">
        <f t="shared" si="25"/>
        <v>0</v>
      </c>
      <c r="Q92" s="20">
        <f t="shared" si="25"/>
        <v>0</v>
      </c>
      <c r="R92" s="20">
        <f t="shared" si="25"/>
        <v>0</v>
      </c>
      <c r="S92" s="20">
        <f t="shared" si="25"/>
        <v>0</v>
      </c>
      <c r="T92" s="20">
        <f t="shared" si="25"/>
        <v>0</v>
      </c>
      <c r="V92" s="20">
        <f t="shared" ref="V92:AG92" si="29">V78-V63</f>
        <v>0</v>
      </c>
      <c r="W92" s="20">
        <f t="shared" si="29"/>
        <v>0</v>
      </c>
      <c r="X92" s="20">
        <f t="shared" si="29"/>
        <v>1.000000000139778E-6</v>
      </c>
      <c r="Y92" s="20">
        <f t="shared" si="29"/>
        <v>0</v>
      </c>
      <c r="Z92" s="20">
        <f t="shared" si="29"/>
        <v>-7.0799999957671389E-4</v>
      </c>
      <c r="AA92" s="20">
        <f t="shared" si="29"/>
        <v>9.9999999747524271E-7</v>
      </c>
      <c r="AB92" s="20">
        <f t="shared" si="29"/>
        <v>0</v>
      </c>
      <c r="AC92" s="20">
        <f t="shared" si="29"/>
        <v>0</v>
      </c>
      <c r="AD92" s="20">
        <f t="shared" si="29"/>
        <v>0</v>
      </c>
      <c r="AE92" s="20">
        <f t="shared" si="29"/>
        <v>0</v>
      </c>
      <c r="AF92" s="20">
        <f t="shared" si="29"/>
        <v>0</v>
      </c>
      <c r="AG92" s="20">
        <f t="shared" si="29"/>
        <v>0</v>
      </c>
    </row>
    <row r="93" spans="1:33" x14ac:dyDescent="0.25">
      <c r="A93" s="47" t="s">
        <v>63</v>
      </c>
      <c r="B93" s="47"/>
      <c r="C93" s="47"/>
      <c r="D93" s="47"/>
      <c r="E93" s="47"/>
      <c r="F93" s="47"/>
      <c r="G93" s="47"/>
      <c r="I93" s="20">
        <f t="shared" si="25"/>
        <v>0</v>
      </c>
      <c r="J93" s="20">
        <f t="shared" si="25"/>
        <v>-1.0000000003174137E-5</v>
      </c>
      <c r="K93" s="20">
        <f t="shared" si="25"/>
        <v>0</v>
      </c>
      <c r="L93" s="20">
        <f t="shared" si="25"/>
        <v>-1.3928999999961889E-2</v>
      </c>
      <c r="M93" s="20">
        <f t="shared" si="25"/>
        <v>0</v>
      </c>
      <c r="N93" s="20">
        <f t="shared" si="25"/>
        <v>1.0141000000089662E-2</v>
      </c>
      <c r="O93" s="20">
        <f t="shared" si="25"/>
        <v>0</v>
      </c>
      <c r="P93" s="20">
        <f t="shared" si="25"/>
        <v>0</v>
      </c>
      <c r="Q93" s="20">
        <f t="shared" si="25"/>
        <v>0</v>
      </c>
      <c r="R93" s="20">
        <f t="shared" si="25"/>
        <v>0</v>
      </c>
      <c r="S93" s="20">
        <f t="shared" si="25"/>
        <v>0</v>
      </c>
      <c r="T93" s="20">
        <f t="shared" si="25"/>
        <v>0</v>
      </c>
      <c r="V93" s="20">
        <f t="shared" ref="V93:AG93" si="30">V79-V64</f>
        <v>0</v>
      </c>
      <c r="W93" s="20">
        <f t="shared" si="30"/>
        <v>0</v>
      </c>
      <c r="X93" s="20">
        <f t="shared" si="30"/>
        <v>0</v>
      </c>
      <c r="Y93" s="20">
        <f t="shared" si="30"/>
        <v>0</v>
      </c>
      <c r="Z93" s="20">
        <f t="shared" si="30"/>
        <v>9.9999999747524271E-7</v>
      </c>
      <c r="AA93" s="20">
        <f t="shared" si="30"/>
        <v>1.720000000204891E-4</v>
      </c>
      <c r="AB93" s="20">
        <f t="shared" si="30"/>
        <v>0</v>
      </c>
      <c r="AC93" s="20">
        <f t="shared" si="30"/>
        <v>0</v>
      </c>
      <c r="AD93" s="20">
        <f t="shared" si="30"/>
        <v>0</v>
      </c>
      <c r="AE93" s="20">
        <f t="shared" si="30"/>
        <v>0</v>
      </c>
      <c r="AF93" s="20">
        <f t="shared" si="30"/>
        <v>0</v>
      </c>
      <c r="AG93" s="20">
        <f t="shared" si="30"/>
        <v>0</v>
      </c>
    </row>
    <row r="94" spans="1:33" x14ac:dyDescent="0.25">
      <c r="B94" s="20">
        <v>-2.258597</v>
      </c>
      <c r="C94" s="20">
        <v>0</v>
      </c>
      <c r="D94" s="20">
        <v>36.882674999999999</v>
      </c>
      <c r="E94" s="20">
        <v>0</v>
      </c>
      <c r="F94" s="20">
        <v>-8.8273840000000003</v>
      </c>
      <c r="G94" s="20">
        <v>0</v>
      </c>
      <c r="I94" s="20">
        <f t="shared" si="25"/>
        <v>0</v>
      </c>
      <c r="J94" s="20">
        <f t="shared" si="25"/>
        <v>0</v>
      </c>
      <c r="K94" s="20">
        <f t="shared" si="25"/>
        <v>0</v>
      </c>
      <c r="L94" s="20">
        <f t="shared" si="25"/>
        <v>0</v>
      </c>
      <c r="M94" s="20">
        <f t="shared" si="25"/>
        <v>0</v>
      </c>
      <c r="N94" s="20">
        <f t="shared" si="25"/>
        <v>0</v>
      </c>
      <c r="O94" s="20">
        <f t="shared" si="25"/>
        <v>0</v>
      </c>
      <c r="P94" s="20">
        <f t="shared" si="25"/>
        <v>0</v>
      </c>
      <c r="Q94" s="20">
        <f t="shared" si="25"/>
        <v>0</v>
      </c>
      <c r="R94" s="20">
        <f t="shared" si="25"/>
        <v>0</v>
      </c>
      <c r="S94" s="20">
        <f t="shared" si="25"/>
        <v>31.783089</v>
      </c>
      <c r="T94" s="20">
        <f t="shared" si="25"/>
        <v>0</v>
      </c>
      <c r="V94" s="20">
        <f t="shared" ref="V94:AG94" si="31">V80-V65</f>
        <v>0</v>
      </c>
      <c r="W94" s="20">
        <f t="shared" si="31"/>
        <v>0</v>
      </c>
      <c r="X94" s="20">
        <f t="shared" si="31"/>
        <v>0</v>
      </c>
      <c r="Y94" s="20">
        <f t="shared" si="31"/>
        <v>0</v>
      </c>
      <c r="Z94" s="20">
        <f t="shared" si="31"/>
        <v>0</v>
      </c>
      <c r="AA94" s="20">
        <f t="shared" si="31"/>
        <v>0</v>
      </c>
      <c r="AB94" s="20">
        <f t="shared" si="31"/>
        <v>0</v>
      </c>
      <c r="AC94" s="20">
        <f t="shared" si="31"/>
        <v>0</v>
      </c>
      <c r="AD94" s="20">
        <f t="shared" si="31"/>
        <v>0</v>
      </c>
      <c r="AE94" s="20">
        <f t="shared" si="31"/>
        <v>0</v>
      </c>
      <c r="AF94" s="20">
        <f t="shared" si="31"/>
        <v>0</v>
      </c>
      <c r="AG94" s="20">
        <f t="shared" si="31"/>
        <v>0</v>
      </c>
    </row>
    <row r="95" spans="1:33" x14ac:dyDescent="0.25">
      <c r="B95" s="20">
        <v>0</v>
      </c>
      <c r="C95" s="20">
        <v>-29.660872000000001</v>
      </c>
      <c r="D95" s="20">
        <v>0</v>
      </c>
      <c r="E95" s="20">
        <v>124.746208</v>
      </c>
      <c r="F95" s="20">
        <v>0</v>
      </c>
      <c r="G95" s="20">
        <v>-43.684958999999999</v>
      </c>
      <c r="I95" s="20">
        <f t="shared" si="25"/>
        <v>0</v>
      </c>
      <c r="J95" s="20">
        <f t="shared" si="25"/>
        <v>0</v>
      </c>
      <c r="K95" s="20">
        <f t="shared" si="25"/>
        <v>0</v>
      </c>
      <c r="L95" s="20">
        <f t="shared" si="25"/>
        <v>0</v>
      </c>
      <c r="M95" s="20">
        <f t="shared" si="25"/>
        <v>0</v>
      </c>
      <c r="N95" s="20">
        <f t="shared" si="25"/>
        <v>0</v>
      </c>
      <c r="O95" s="20">
        <f t="shared" si="25"/>
        <v>0</v>
      </c>
      <c r="P95" s="20">
        <f t="shared" si="25"/>
        <v>0</v>
      </c>
      <c r="Q95" s="20">
        <f t="shared" si="25"/>
        <v>0</v>
      </c>
      <c r="R95" s="20">
        <f t="shared" si="25"/>
        <v>-31.783087999999999</v>
      </c>
      <c r="S95" s="20">
        <f t="shared" si="25"/>
        <v>0</v>
      </c>
      <c r="T95" s="20">
        <f t="shared" si="25"/>
        <v>0.79718000000002576</v>
      </c>
      <c r="V95" s="20">
        <f t="shared" ref="V95:AG95" si="32">V81-V66</f>
        <v>0</v>
      </c>
      <c r="W95" s="20">
        <f t="shared" si="32"/>
        <v>0</v>
      </c>
      <c r="X95" s="20">
        <f t="shared" si="32"/>
        <v>0</v>
      </c>
      <c r="Y95" s="20">
        <f t="shared" si="32"/>
        <v>0</v>
      </c>
      <c r="Z95" s="20">
        <f t="shared" si="32"/>
        <v>0</v>
      </c>
      <c r="AA95" s="20">
        <f t="shared" si="32"/>
        <v>0</v>
      </c>
      <c r="AB95" s="20">
        <f t="shared" si="32"/>
        <v>0</v>
      </c>
      <c r="AC95" s="20">
        <f t="shared" si="32"/>
        <v>0</v>
      </c>
      <c r="AD95" s="20">
        <f t="shared" si="32"/>
        <v>0</v>
      </c>
      <c r="AE95" s="20">
        <f t="shared" si="32"/>
        <v>0</v>
      </c>
      <c r="AF95" s="20">
        <f t="shared" si="32"/>
        <v>0</v>
      </c>
      <c r="AG95" s="20">
        <f t="shared" si="32"/>
        <v>0</v>
      </c>
    </row>
    <row r="96" spans="1:33" x14ac:dyDescent="0.25">
      <c r="B96" s="20">
        <v>-80.295058999999995</v>
      </c>
      <c r="C96" s="20">
        <v>0</v>
      </c>
      <c r="D96" s="20">
        <v>-549.11419699999999</v>
      </c>
      <c r="E96" s="20">
        <v>0</v>
      </c>
      <c r="F96" s="20">
        <v>-3030.9746089999999</v>
      </c>
      <c r="G96" s="20">
        <v>0</v>
      </c>
      <c r="I96" s="20">
        <f t="shared" si="25"/>
        <v>0</v>
      </c>
      <c r="J96" s="20">
        <f t="shared" si="25"/>
        <v>0</v>
      </c>
      <c r="K96" s="20">
        <f t="shared" si="25"/>
        <v>0</v>
      </c>
      <c r="L96" s="20">
        <f t="shared" si="25"/>
        <v>0</v>
      </c>
      <c r="M96" s="20">
        <f t="shared" si="25"/>
        <v>0</v>
      </c>
      <c r="N96" s="20">
        <f t="shared" si="25"/>
        <v>0</v>
      </c>
      <c r="O96" s="20">
        <f t="shared" si="25"/>
        <v>0</v>
      </c>
      <c r="P96" s="20">
        <f t="shared" si="25"/>
        <v>0</v>
      </c>
      <c r="Q96" s="20">
        <f t="shared" si="25"/>
        <v>0</v>
      </c>
      <c r="R96" s="20">
        <f t="shared" si="25"/>
        <v>0</v>
      </c>
      <c r="S96" s="20">
        <f t="shared" si="25"/>
        <v>-0.79718000000002576</v>
      </c>
      <c r="T96" s="20">
        <f t="shared" si="25"/>
        <v>0</v>
      </c>
      <c r="V96" s="20">
        <f t="shared" ref="V96:AG96" si="33">V82-V67</f>
        <v>0</v>
      </c>
      <c r="W96" s="20">
        <f t="shared" si="33"/>
        <v>0</v>
      </c>
      <c r="X96" s="20">
        <f t="shared" si="33"/>
        <v>0</v>
      </c>
      <c r="Y96" s="20">
        <f t="shared" si="33"/>
        <v>0</v>
      </c>
      <c r="Z96" s="20">
        <f t="shared" si="33"/>
        <v>0</v>
      </c>
      <c r="AA96" s="20">
        <f t="shared" si="33"/>
        <v>0</v>
      </c>
      <c r="AB96" s="20">
        <f t="shared" si="33"/>
        <v>0</v>
      </c>
      <c r="AC96" s="20">
        <f t="shared" si="33"/>
        <v>0</v>
      </c>
      <c r="AD96" s="20">
        <f t="shared" si="33"/>
        <v>0</v>
      </c>
      <c r="AE96" s="20">
        <f t="shared" si="33"/>
        <v>0</v>
      </c>
      <c r="AF96" s="20">
        <f t="shared" si="33"/>
        <v>0</v>
      </c>
      <c r="AG96" s="20">
        <f t="shared" si="33"/>
        <v>0</v>
      </c>
    </row>
    <row r="97" spans="1:33" x14ac:dyDescent="0.25">
      <c r="B97" s="20">
        <v>0</v>
      </c>
      <c r="C97" s="20">
        <v>-125.275131</v>
      </c>
      <c r="D97" s="20">
        <v>0</v>
      </c>
      <c r="E97" s="20">
        <v>-21328.824218999998</v>
      </c>
      <c r="F97" s="20">
        <v>0</v>
      </c>
      <c r="G97" s="20">
        <v>3320.7314449999999</v>
      </c>
      <c r="I97" s="20">
        <f t="shared" si="25"/>
        <v>0</v>
      </c>
      <c r="J97" s="20">
        <f t="shared" si="25"/>
        <v>0</v>
      </c>
      <c r="K97" s="20">
        <f t="shared" si="25"/>
        <v>0</v>
      </c>
      <c r="L97" s="20">
        <f t="shared" si="25"/>
        <v>0</v>
      </c>
      <c r="M97" s="20">
        <f t="shared" si="25"/>
        <v>0</v>
      </c>
      <c r="N97" s="20">
        <f t="shared" si="25"/>
        <v>0</v>
      </c>
      <c r="O97" s="20">
        <f t="shared" si="25"/>
        <v>0</v>
      </c>
      <c r="P97" s="20">
        <f t="shared" si="25"/>
        <v>0</v>
      </c>
      <c r="Q97" s="20">
        <f t="shared" si="25"/>
        <v>0</v>
      </c>
      <c r="R97" s="20">
        <f t="shared" si="25"/>
        <v>0</v>
      </c>
      <c r="S97" s="20">
        <f t="shared" si="25"/>
        <v>0</v>
      </c>
      <c r="T97" s="20">
        <f t="shared" si="25"/>
        <v>0</v>
      </c>
      <c r="V97" s="20">
        <f t="shared" ref="V97:AG97" si="34">V83-V68</f>
        <v>0</v>
      </c>
      <c r="W97" s="20">
        <f t="shared" si="34"/>
        <v>0</v>
      </c>
      <c r="X97" s="20">
        <f t="shared" si="34"/>
        <v>0</v>
      </c>
      <c r="Y97" s="20">
        <f t="shared" si="34"/>
        <v>0</v>
      </c>
      <c r="Z97" s="20">
        <f t="shared" si="34"/>
        <v>0</v>
      </c>
      <c r="AA97" s="20">
        <f t="shared" si="34"/>
        <v>0</v>
      </c>
      <c r="AB97" s="20">
        <f t="shared" si="34"/>
        <v>0</v>
      </c>
      <c r="AC97" s="20">
        <f t="shared" si="34"/>
        <v>0</v>
      </c>
      <c r="AD97" s="20">
        <f t="shared" si="34"/>
        <v>0</v>
      </c>
      <c r="AE97" s="20">
        <f t="shared" si="34"/>
        <v>0</v>
      </c>
      <c r="AF97" s="20">
        <f t="shared" si="34"/>
        <v>0</v>
      </c>
      <c r="AG97" s="20">
        <f t="shared" si="34"/>
        <v>0</v>
      </c>
    </row>
    <row r="98" spans="1:33" x14ac:dyDescent="0.25">
      <c r="B98" s="20">
        <v>0.40288099999999999</v>
      </c>
      <c r="C98" s="20">
        <v>0</v>
      </c>
      <c r="D98" s="20">
        <v>-311.72515900000002</v>
      </c>
      <c r="E98" s="20">
        <v>0</v>
      </c>
      <c r="F98" s="20">
        <v>-52255.332030999998</v>
      </c>
      <c r="G98" s="20">
        <v>0</v>
      </c>
      <c r="I98" s="20">
        <f t="shared" si="25"/>
        <v>0</v>
      </c>
      <c r="J98" s="20">
        <f t="shared" si="25"/>
        <v>0</v>
      </c>
      <c r="K98" s="20">
        <f t="shared" si="25"/>
        <v>0</v>
      </c>
      <c r="L98" s="20">
        <f t="shared" si="25"/>
        <v>0</v>
      </c>
      <c r="M98" s="20">
        <f t="shared" si="25"/>
        <v>0</v>
      </c>
      <c r="N98" s="20">
        <f t="shared" si="25"/>
        <v>0</v>
      </c>
      <c r="O98" s="20">
        <f t="shared" si="25"/>
        <v>0</v>
      </c>
      <c r="P98" s="20">
        <f t="shared" si="25"/>
        <v>0</v>
      </c>
      <c r="Q98" s="20">
        <f t="shared" si="25"/>
        <v>0</v>
      </c>
      <c r="R98" s="20">
        <f t="shared" si="25"/>
        <v>0</v>
      </c>
      <c r="S98" s="20">
        <f t="shared" si="25"/>
        <v>0</v>
      </c>
      <c r="T98" s="20">
        <f t="shared" si="25"/>
        <v>0</v>
      </c>
      <c r="V98" s="20">
        <f t="shared" ref="V98:AG98" si="35">V84-V69</f>
        <v>0</v>
      </c>
      <c r="W98" s="20">
        <f t="shared" si="35"/>
        <v>0</v>
      </c>
      <c r="X98" s="20">
        <f t="shared" si="35"/>
        <v>0</v>
      </c>
      <c r="Y98" s="20">
        <f t="shared" si="35"/>
        <v>0</v>
      </c>
      <c r="Z98" s="20">
        <f t="shared" si="35"/>
        <v>0</v>
      </c>
      <c r="AA98" s="20">
        <f t="shared" si="35"/>
        <v>0</v>
      </c>
      <c r="AB98" s="20">
        <f t="shared" si="35"/>
        <v>0</v>
      </c>
      <c r="AC98" s="20">
        <f t="shared" si="35"/>
        <v>0</v>
      </c>
      <c r="AD98" s="20">
        <f t="shared" si="35"/>
        <v>0</v>
      </c>
      <c r="AE98" s="20">
        <f t="shared" si="35"/>
        <v>0</v>
      </c>
      <c r="AF98" s="20">
        <f t="shared" si="35"/>
        <v>0</v>
      </c>
      <c r="AG98" s="20">
        <f t="shared" si="35"/>
        <v>0</v>
      </c>
    </row>
    <row r="99" spans="1:33" x14ac:dyDescent="0.25">
      <c r="B99" s="20">
        <v>0</v>
      </c>
      <c r="C99" s="20">
        <v>-145.92695599999999</v>
      </c>
      <c r="D99" s="20">
        <v>0</v>
      </c>
      <c r="E99" s="20">
        <v>-1149.6870120000001</v>
      </c>
      <c r="F99" s="20">
        <v>0</v>
      </c>
      <c r="G99" s="20">
        <v>837.61132799999996</v>
      </c>
      <c r="I99" s="20">
        <f t="shared" si="25"/>
        <v>0</v>
      </c>
      <c r="J99" s="20">
        <f t="shared" si="25"/>
        <v>0</v>
      </c>
      <c r="K99" s="20">
        <f t="shared" si="25"/>
        <v>0</v>
      </c>
      <c r="L99" s="20">
        <f t="shared" si="25"/>
        <v>0</v>
      </c>
      <c r="M99" s="20">
        <f t="shared" si="25"/>
        <v>0</v>
      </c>
      <c r="N99" s="20">
        <f t="shared" si="25"/>
        <v>0</v>
      </c>
      <c r="O99" s="20">
        <f t="shared" si="25"/>
        <v>0</v>
      </c>
      <c r="P99" s="20">
        <f t="shared" si="25"/>
        <v>0</v>
      </c>
      <c r="Q99" s="20">
        <f t="shared" si="25"/>
        <v>0</v>
      </c>
      <c r="R99" s="20">
        <f t="shared" si="25"/>
        <v>0</v>
      </c>
      <c r="S99" s="20">
        <f t="shared" si="25"/>
        <v>0</v>
      </c>
      <c r="T99" s="20">
        <f t="shared" si="25"/>
        <v>0</v>
      </c>
      <c r="V99" s="20">
        <f t="shared" ref="V99:AG99" si="36">V85-V70</f>
        <v>0</v>
      </c>
      <c r="W99" s="20">
        <f t="shared" si="36"/>
        <v>0</v>
      </c>
      <c r="X99" s="20">
        <f t="shared" si="36"/>
        <v>0</v>
      </c>
      <c r="Y99" s="20">
        <f t="shared" si="36"/>
        <v>0</v>
      </c>
      <c r="Z99" s="20">
        <f t="shared" si="36"/>
        <v>0</v>
      </c>
      <c r="AA99" s="20">
        <f t="shared" si="36"/>
        <v>0</v>
      </c>
      <c r="AB99" s="20">
        <f t="shared" si="36"/>
        <v>0</v>
      </c>
      <c r="AC99" s="20">
        <f t="shared" si="36"/>
        <v>0</v>
      </c>
      <c r="AD99" s="20">
        <f t="shared" si="36"/>
        <v>0</v>
      </c>
      <c r="AE99" s="20">
        <f t="shared" si="36"/>
        <v>0</v>
      </c>
      <c r="AF99" s="20">
        <f t="shared" si="36"/>
        <v>0</v>
      </c>
      <c r="AG99" s="20">
        <f t="shared" si="36"/>
        <v>0</v>
      </c>
    </row>
    <row r="102" spans="1:33" x14ac:dyDescent="0.25">
      <c r="A102" s="47" t="s">
        <v>64</v>
      </c>
      <c r="B102" s="47"/>
      <c r="C102" s="47"/>
      <c r="D102" s="47"/>
      <c r="E102" s="47"/>
      <c r="F102" s="47"/>
      <c r="G102" s="47"/>
    </row>
    <row r="103" spans="1:33" x14ac:dyDescent="0.25">
      <c r="B103" s="20">
        <v>-2.2585318706790001</v>
      </c>
      <c r="C103" s="20">
        <v>-5.0289999999999999E-9</v>
      </c>
      <c r="D103" s="20">
        <v>36.882691637801003</v>
      </c>
      <c r="E103" s="20">
        <v>0</v>
      </c>
      <c r="F103" s="20">
        <v>-8.8270516044229996</v>
      </c>
      <c r="G103" s="20">
        <v>0</v>
      </c>
    </row>
    <row r="104" spans="1:33" x14ac:dyDescent="0.25">
      <c r="B104" s="20">
        <v>0</v>
      </c>
      <c r="C104" s="20">
        <v>-29.660868685109001</v>
      </c>
      <c r="D104" s="20">
        <v>0</v>
      </c>
      <c r="E104" s="20">
        <v>124.747722741323</v>
      </c>
      <c r="F104" s="20">
        <v>0</v>
      </c>
      <c r="G104" s="20">
        <v>-43.685488980944001</v>
      </c>
    </row>
    <row r="105" spans="1:33" x14ac:dyDescent="0.25">
      <c r="B105" s="20">
        <v>-80.295055031146006</v>
      </c>
      <c r="C105" s="20">
        <v>-2.5799999999999999E-10</v>
      </c>
      <c r="D105" s="20">
        <v>-549.11419580815004</v>
      </c>
      <c r="E105" s="20">
        <v>1.9999999999999999E-11</v>
      </c>
      <c r="F105" s="20">
        <v>-3031.010960525</v>
      </c>
      <c r="G105" s="20">
        <v>3.9999999999999998E-11</v>
      </c>
    </row>
    <row r="106" spans="1:33" x14ac:dyDescent="0.25">
      <c r="B106" s="20">
        <v>0</v>
      </c>
      <c r="C106" s="20">
        <v>-125.275131077483</v>
      </c>
      <c r="D106" s="20">
        <v>0</v>
      </c>
      <c r="E106" s="20">
        <v>-21329.083737097098</v>
      </c>
      <c r="F106" s="20">
        <v>0</v>
      </c>
      <c r="G106" s="20">
        <v>3320.7718024658102</v>
      </c>
    </row>
    <row r="107" spans="1:33" x14ac:dyDescent="0.25">
      <c r="B107" s="20">
        <v>0.40288404631399999</v>
      </c>
      <c r="C107" s="20">
        <v>-2.5599999999999999E-10</v>
      </c>
      <c r="D107" s="20">
        <v>-311.725154974188</v>
      </c>
      <c r="E107" s="20">
        <v>0</v>
      </c>
      <c r="F107" s="20">
        <v>-52255.965064206197</v>
      </c>
      <c r="G107" s="20">
        <v>0</v>
      </c>
    </row>
    <row r="108" spans="1:33" x14ac:dyDescent="0.25">
      <c r="B108" s="20">
        <v>0</v>
      </c>
      <c r="C108" s="20">
        <v>-145.926965603817</v>
      </c>
      <c r="D108" s="20">
        <v>0</v>
      </c>
      <c r="E108" s="20">
        <v>-1149.7009407241501</v>
      </c>
      <c r="F108" s="20">
        <v>0</v>
      </c>
      <c r="G108" s="20">
        <v>837.62146949057399</v>
      </c>
      <c r="J108" s="64"/>
    </row>
    <row r="109" spans="1:33" x14ac:dyDescent="0.25">
      <c r="J109" s="64"/>
      <c r="L109" s="45"/>
    </row>
    <row r="110" spans="1:33" x14ac:dyDescent="0.25">
      <c r="J110" s="64"/>
    </row>
    <row r="111" spans="1:33" x14ac:dyDescent="0.25">
      <c r="J111" s="64"/>
    </row>
    <row r="112" spans="1:33" x14ac:dyDescent="0.25">
      <c r="J112" s="64"/>
    </row>
    <row r="113" spans="10:12" x14ac:dyDescent="0.25">
      <c r="J113" s="64"/>
    </row>
    <row r="114" spans="10:12" x14ac:dyDescent="0.25">
      <c r="J114" s="64"/>
    </row>
    <row r="115" spans="10:12" x14ac:dyDescent="0.25">
      <c r="J115" s="64"/>
    </row>
    <row r="116" spans="10:12" x14ac:dyDescent="0.25">
      <c r="J116" s="64"/>
    </row>
    <row r="117" spans="10:12" x14ac:dyDescent="0.25">
      <c r="J117" s="64"/>
    </row>
    <row r="118" spans="10:12" x14ac:dyDescent="0.25">
      <c r="J118" s="64"/>
    </row>
    <row r="119" spans="10:12" x14ac:dyDescent="0.25">
      <c r="J119" s="64"/>
    </row>
    <row r="120" spans="10:12" x14ac:dyDescent="0.25">
      <c r="J120" s="64"/>
    </row>
    <row r="121" spans="10:12" x14ac:dyDescent="0.25">
      <c r="J121" s="64"/>
      <c r="L121" s="45"/>
    </row>
    <row r="122" spans="10:12" x14ac:dyDescent="0.25">
      <c r="J122" s="64"/>
    </row>
    <row r="123" spans="10:12" x14ac:dyDescent="0.25">
      <c r="J123" s="64"/>
    </row>
    <row r="124" spans="10:12" x14ac:dyDescent="0.25">
      <c r="J124" s="64"/>
    </row>
    <row r="125" spans="10:12" x14ac:dyDescent="0.25">
      <c r="J125" s="64"/>
    </row>
    <row r="126" spans="10:12" x14ac:dyDescent="0.25">
      <c r="J126" s="64"/>
    </row>
    <row r="127" spans="10:12" x14ac:dyDescent="0.25">
      <c r="J127" s="64"/>
    </row>
    <row r="128" spans="10:12" x14ac:dyDescent="0.25">
      <c r="J128" s="64"/>
    </row>
    <row r="129" spans="10:12" x14ac:dyDescent="0.25">
      <c r="J129" s="64"/>
    </row>
    <row r="130" spans="10:12" x14ac:dyDescent="0.25">
      <c r="J130" s="64"/>
    </row>
    <row r="131" spans="10:12" x14ac:dyDescent="0.25">
      <c r="J131" s="64"/>
    </row>
    <row r="132" spans="10:12" x14ac:dyDescent="0.25">
      <c r="J132" s="64"/>
    </row>
    <row r="133" spans="10:12" x14ac:dyDescent="0.25">
      <c r="J133" s="64"/>
      <c r="L133" s="45"/>
    </row>
    <row r="134" spans="10:12" x14ac:dyDescent="0.25">
      <c r="J134" s="64"/>
    </row>
    <row r="135" spans="10:12" x14ac:dyDescent="0.25">
      <c r="J135" s="64"/>
    </row>
    <row r="136" spans="10:12" x14ac:dyDescent="0.25">
      <c r="J136" s="64"/>
    </row>
    <row r="137" spans="10:12" x14ac:dyDescent="0.25">
      <c r="J137" s="64"/>
    </row>
    <row r="138" spans="10:12" x14ac:dyDescent="0.25">
      <c r="J138" s="64"/>
    </row>
    <row r="139" spans="10:12" x14ac:dyDescent="0.25">
      <c r="J139" s="64"/>
    </row>
    <row r="140" spans="10:12" x14ac:dyDescent="0.25">
      <c r="J140" s="64"/>
    </row>
    <row r="141" spans="10:12" x14ac:dyDescent="0.25">
      <c r="J141" s="64"/>
    </row>
    <row r="142" spans="10:12" x14ac:dyDescent="0.25">
      <c r="J142" s="64"/>
    </row>
    <row r="143" spans="10:12" x14ac:dyDescent="0.25">
      <c r="J143" s="64"/>
    </row>
    <row r="144" spans="10:12" x14ac:dyDescent="0.25">
      <c r="J144" s="64"/>
    </row>
    <row r="145" spans="10:10" x14ac:dyDescent="0.25">
      <c r="J145" s="64"/>
    </row>
  </sheetData>
  <mergeCells count="22">
    <mergeCell ref="A75:G75"/>
    <mergeCell ref="A84:G84"/>
    <mergeCell ref="I87:T87"/>
    <mergeCell ref="A93:G93"/>
    <mergeCell ref="A102:G102"/>
    <mergeCell ref="A1:G1"/>
    <mergeCell ref="V58:AG58"/>
    <mergeCell ref="A66:G66"/>
    <mergeCell ref="I73:T73"/>
    <mergeCell ref="V73:AG73"/>
    <mergeCell ref="I58:T58"/>
    <mergeCell ref="A56:G56"/>
    <mergeCell ref="I3:T3"/>
    <mergeCell ref="V3:AG3"/>
    <mergeCell ref="A11:G11"/>
    <mergeCell ref="I18:T18"/>
    <mergeCell ref="V18:AG18"/>
    <mergeCell ref="A20:G20"/>
    <mergeCell ref="A29:G29"/>
    <mergeCell ref="I32:T32"/>
    <mergeCell ref="A38:G38"/>
    <mergeCell ref="A47:G4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866C-FDE3-44BC-BDD2-45363E964B36}">
  <dimension ref="A1:AG141"/>
  <sheetViews>
    <sheetView topLeftCell="A64" workbookViewId="0">
      <selection activeCell="M8" sqref="M8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13.140625" bestFit="1" customWidth="1"/>
    <col min="4" max="4" width="12.5703125" bestFit="1" customWidth="1"/>
    <col min="5" max="5" width="15.42578125" customWidth="1"/>
    <col min="6" max="7" width="15" bestFit="1" customWidth="1"/>
    <col min="9" max="9" width="11.28515625" bestFit="1" customWidth="1"/>
    <col min="10" max="10" width="15.42578125" bestFit="1" customWidth="1"/>
    <col min="11" max="11" width="11.28515625" bestFit="1" customWidth="1"/>
    <col min="12" max="12" width="14.140625" bestFit="1" customWidth="1"/>
    <col min="13" max="13" width="14.85546875" bestFit="1" customWidth="1"/>
    <col min="14" max="14" width="14.42578125" bestFit="1" customWidth="1"/>
    <col min="15" max="17" width="10.28515625" bestFit="1" customWidth="1"/>
    <col min="18" max="19" width="13.42578125" bestFit="1" customWidth="1"/>
    <col min="20" max="20" width="11" bestFit="1" customWidth="1"/>
  </cols>
  <sheetData>
    <row r="1" spans="1:33" x14ac:dyDescent="0.25">
      <c r="A1" s="48" t="s">
        <v>122</v>
      </c>
      <c r="B1" s="48"/>
      <c r="C1" s="48"/>
      <c r="D1" s="48"/>
      <c r="E1" s="48"/>
      <c r="F1" s="48"/>
      <c r="G1" s="48"/>
    </row>
    <row r="2" spans="1:33" x14ac:dyDescent="0.25">
      <c r="A2" t="s">
        <v>59</v>
      </c>
      <c r="H2" t="s">
        <v>60</v>
      </c>
      <c r="U2" t="s">
        <v>67</v>
      </c>
    </row>
    <row r="3" spans="1:33" x14ac:dyDescent="0.25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s="47" t="s">
        <v>69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V3" s="47" t="s">
        <v>69</v>
      </c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 spans="1:33" x14ac:dyDescent="0.25"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I4" s="20">
        <v>5.8373309999999998</v>
      </c>
      <c r="J4" s="20">
        <v>27.843485000000001</v>
      </c>
      <c r="K4" s="20">
        <v>10.730563999999999</v>
      </c>
      <c r="L4" s="20">
        <v>-0.104212</v>
      </c>
      <c r="M4" s="20">
        <v>29.671810000000001</v>
      </c>
      <c r="N4" s="20">
        <v>-0.62086200000000002</v>
      </c>
      <c r="O4" s="20">
        <v>0</v>
      </c>
      <c r="P4" s="20">
        <v>0</v>
      </c>
      <c r="Q4" s="20">
        <v>0</v>
      </c>
      <c r="R4" s="20">
        <v>0</v>
      </c>
      <c r="S4" s="20">
        <v>-20466.662109000001</v>
      </c>
      <c r="T4" s="20">
        <v>0</v>
      </c>
      <c r="V4">
        <v>638.07665999999995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I5" s="20">
        <v>-28.021384999999999</v>
      </c>
      <c r="J5" s="20">
        <v>-141.41239899999999</v>
      </c>
      <c r="K5" s="20">
        <v>-3.2304659999999998</v>
      </c>
      <c r="L5" s="20">
        <v>412.45675699999998</v>
      </c>
      <c r="M5" s="20">
        <v>-0.18493999999999999</v>
      </c>
      <c r="N5" s="20">
        <v>-403597.53125</v>
      </c>
      <c r="O5" s="20">
        <v>0</v>
      </c>
      <c r="P5" s="20">
        <v>0</v>
      </c>
      <c r="Q5" s="20">
        <v>0</v>
      </c>
      <c r="R5" s="20">
        <v>10233.331055000001</v>
      </c>
      <c r="S5" s="20">
        <v>-1012.090515</v>
      </c>
      <c r="T5" s="20">
        <v>0</v>
      </c>
      <c r="V5">
        <v>0</v>
      </c>
      <c r="W5">
        <v>638.07665999999995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B6" t="s">
        <v>40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I6" s="20">
        <v>-105.61541699999999</v>
      </c>
      <c r="J6" s="20">
        <v>3.1798199999999999</v>
      </c>
      <c r="K6" s="20">
        <v>-511.390961</v>
      </c>
      <c r="L6" s="20">
        <v>-0.74521899999999996</v>
      </c>
      <c r="M6" s="20">
        <v>401794.90625</v>
      </c>
      <c r="N6" s="20">
        <v>-7.0614999999999997E-2</v>
      </c>
      <c r="O6" s="20">
        <v>0</v>
      </c>
      <c r="P6" s="20">
        <v>0</v>
      </c>
      <c r="Q6" s="20">
        <v>0</v>
      </c>
      <c r="R6" s="20">
        <v>-17724.648438</v>
      </c>
      <c r="S6" s="20">
        <v>-584.33074999999997</v>
      </c>
      <c r="T6" s="20">
        <v>0</v>
      </c>
      <c r="V6">
        <v>0</v>
      </c>
      <c r="W6">
        <v>0</v>
      </c>
      <c r="X6">
        <v>638.37268100000006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B7" t="s">
        <v>41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I7" s="20">
        <v>-0.51882799999999996</v>
      </c>
      <c r="J7" s="20">
        <v>-354.89623999999998</v>
      </c>
      <c r="K7" s="20">
        <v>1.7759100000000001</v>
      </c>
      <c r="L7" s="20">
        <v>-20611.339843999998</v>
      </c>
      <c r="M7" s="20">
        <v>-318.62597699999998</v>
      </c>
      <c r="N7" s="20">
        <v>8276.4697269999997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V7">
        <v>0</v>
      </c>
      <c r="W7">
        <v>0</v>
      </c>
      <c r="X7">
        <v>0</v>
      </c>
      <c r="Y7">
        <v>9496</v>
      </c>
      <c r="Z7">
        <v>0</v>
      </c>
      <c r="AA7">
        <v>-982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B8" t="s">
        <v>42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I8" s="20">
        <v>7.7197909999999998</v>
      </c>
      <c r="J8" s="20">
        <v>-1.2895E-2</v>
      </c>
      <c r="K8" s="20">
        <v>-200.93663000000001</v>
      </c>
      <c r="L8" s="20">
        <v>2344.7612300000001</v>
      </c>
      <c r="M8" s="20">
        <v>-51253.824219000002</v>
      </c>
      <c r="N8" s="20">
        <v>-342.235229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V8">
        <v>0</v>
      </c>
      <c r="W8">
        <v>0</v>
      </c>
      <c r="X8">
        <v>3.8870469999999999</v>
      </c>
      <c r="Y8">
        <v>0</v>
      </c>
      <c r="Z8">
        <v>55814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I9" s="20">
        <v>0.77915299999999998</v>
      </c>
      <c r="J9" s="20">
        <v>1236.814697</v>
      </c>
      <c r="K9" s="20">
        <v>0.34464800000000001</v>
      </c>
      <c r="L9" s="20">
        <v>-7463.3720700000003</v>
      </c>
      <c r="M9" s="20">
        <v>349.86181599999998</v>
      </c>
      <c r="N9" s="20">
        <v>-12796.619140999999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V9">
        <v>0</v>
      </c>
      <c r="W9">
        <v>0</v>
      </c>
      <c r="X9">
        <v>0</v>
      </c>
      <c r="Y9">
        <v>-982</v>
      </c>
      <c r="Z9">
        <v>0</v>
      </c>
      <c r="AA9">
        <v>63100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I10" s="20">
        <v>0.99837399999999998</v>
      </c>
      <c r="J10" s="20">
        <v>4.9369999999999997E-2</v>
      </c>
      <c r="K10" s="20">
        <v>2.8504000000000002E-2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-36.142994000000002</v>
      </c>
      <c r="T10" s="2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s="47" t="s">
        <v>61</v>
      </c>
      <c r="B11" s="47"/>
      <c r="C11" s="47"/>
      <c r="D11" s="47"/>
      <c r="E11" s="47"/>
      <c r="F11" s="47"/>
      <c r="G11" s="47"/>
      <c r="I11" s="20">
        <v>0</v>
      </c>
      <c r="J11" s="20">
        <v>0.5</v>
      </c>
      <c r="K11" s="20">
        <v>-0.86602500000000004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632.96893299999999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 s="44"/>
      <c r="B12" s="44">
        <v>-3.88581696642273</v>
      </c>
      <c r="C12" s="44">
        <v>-0.114625936712625</v>
      </c>
      <c r="D12" s="44">
        <v>59.172497796655399</v>
      </c>
      <c r="E12" s="44">
        <v>-3.6844758129475602E-2</v>
      </c>
      <c r="F12" s="44">
        <v>29.583838744456799</v>
      </c>
      <c r="G12" s="44">
        <v>-0.61541320979590797</v>
      </c>
      <c r="H12" s="44"/>
      <c r="I12" s="20">
        <v>-5.7008000000000003E-2</v>
      </c>
      <c r="J12" s="20">
        <v>0.86461699999999997</v>
      </c>
      <c r="K12" s="20">
        <v>0.49918699999999999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-632.96893299999999</v>
      </c>
      <c r="T12" s="20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</row>
    <row r="13" spans="1:33" x14ac:dyDescent="0.25">
      <c r="A13" s="44"/>
      <c r="B13" s="44">
        <v>-2.1542667753614901E-2</v>
      </c>
      <c r="C13" s="44">
        <v>-134.00460066981</v>
      </c>
      <c r="D13" s="44">
        <v>-3.9276201771091999E-2</v>
      </c>
      <c r="E13" s="44">
        <v>286.67338386972699</v>
      </c>
      <c r="F13" s="44">
        <v>-7.4930178346411094E-2</v>
      </c>
      <c r="G13" s="44">
        <v>929.90021534270397</v>
      </c>
      <c r="H13" s="44"/>
      <c r="I13" s="20">
        <v>0</v>
      </c>
      <c r="J13" s="20">
        <v>0</v>
      </c>
      <c r="K13" s="20">
        <v>0</v>
      </c>
      <c r="L13" s="20">
        <v>1</v>
      </c>
      <c r="M13" s="20">
        <v>4.9451000000000002E-2</v>
      </c>
      <c r="N13" s="20">
        <v>2.8549999999999999E-2</v>
      </c>
      <c r="O13" s="20">
        <v>0</v>
      </c>
      <c r="P13" s="20">
        <v>0</v>
      </c>
      <c r="Q13" s="20">
        <v>0</v>
      </c>
      <c r="R13" s="20">
        <v>0</v>
      </c>
      <c r="S13" s="20">
        <v>8.7914000000000006E-2</v>
      </c>
      <c r="T13" s="20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x14ac:dyDescent="0.25">
      <c r="A14" s="44"/>
      <c r="B14" s="44">
        <v>-68.9224276700849</v>
      </c>
      <c r="C14" s="44">
        <v>-4.7152099985017598E-2</v>
      </c>
      <c r="D14" s="44">
        <v>-522.792519930259</v>
      </c>
      <c r="E14" s="44">
        <v>-4.1905915427841098E-3</v>
      </c>
      <c r="F14" s="44">
        <v>-2745.6030036238799</v>
      </c>
      <c r="G14" s="44">
        <v>-6.9994906282889E-2</v>
      </c>
      <c r="H14" s="44"/>
      <c r="I14" s="20">
        <v>0</v>
      </c>
      <c r="J14" s="20">
        <v>0</v>
      </c>
      <c r="K14" s="20">
        <v>0</v>
      </c>
      <c r="L14" s="20">
        <v>0</v>
      </c>
      <c r="M14" s="20">
        <v>0.5</v>
      </c>
      <c r="N14" s="20">
        <v>-0.86602500000000004</v>
      </c>
      <c r="O14" s="20">
        <v>0</v>
      </c>
      <c r="P14" s="20">
        <v>0</v>
      </c>
      <c r="Q14" s="20">
        <v>0</v>
      </c>
      <c r="R14" s="20">
        <v>-8.7628999999999999E-2</v>
      </c>
      <c r="S14" s="20">
        <v>0</v>
      </c>
      <c r="T14" s="20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</row>
    <row r="15" spans="1:33" x14ac:dyDescent="0.25">
      <c r="A15" s="44"/>
      <c r="B15" s="44">
        <v>-0.59845210462221998</v>
      </c>
      <c r="C15" s="44">
        <v>-335.506971859489</v>
      </c>
      <c r="D15" s="44">
        <v>1.6216433915103701</v>
      </c>
      <c r="E15" s="44">
        <v>-20373.717505392899</v>
      </c>
      <c r="F15" s="44">
        <v>0</v>
      </c>
      <c r="G15" s="44">
        <v>6083.5891440266196</v>
      </c>
      <c r="H15" s="44"/>
      <c r="I15" s="20">
        <v>0</v>
      </c>
      <c r="J15" s="20">
        <v>0</v>
      </c>
      <c r="K15" s="20">
        <v>0</v>
      </c>
      <c r="L15" s="20">
        <v>0</v>
      </c>
      <c r="M15" s="20">
        <v>0.86743599999999998</v>
      </c>
      <c r="N15" s="20">
        <v>0.50081399999999998</v>
      </c>
      <c r="O15" s="20">
        <v>0</v>
      </c>
      <c r="P15" s="20">
        <v>0</v>
      </c>
      <c r="Q15" s="20">
        <v>0</v>
      </c>
      <c r="R15" s="20">
        <v>0</v>
      </c>
      <c r="S15" s="20">
        <v>5.012E-3</v>
      </c>
      <c r="T15" s="20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25">
      <c r="A16" s="44"/>
      <c r="B16" s="44">
        <v>31.278445118853501</v>
      </c>
      <c r="C16" s="44">
        <v>-1.16188994548475E-2</v>
      </c>
      <c r="D16" s="44">
        <v>-225.11950853425401</v>
      </c>
      <c r="E16" s="44">
        <v>-4.1905915427841098E-3</v>
      </c>
      <c r="F16" s="44">
        <v>-46962.580281098897</v>
      </c>
      <c r="G16" s="44">
        <v>-6.9994906282889E-2</v>
      </c>
      <c r="H16" s="44"/>
    </row>
    <row r="17" spans="1:33" x14ac:dyDescent="0.25">
      <c r="A17" s="44"/>
      <c r="B17" s="44">
        <v>0.40903927432634002</v>
      </c>
      <c r="C17" s="44">
        <v>1169.5513355118801</v>
      </c>
      <c r="D17" s="44">
        <v>0.26503291768955001</v>
      </c>
      <c r="E17" s="44">
        <v>-2349.5727558182598</v>
      </c>
      <c r="F17" s="44">
        <v>7.4930178346411094E-2</v>
      </c>
      <c r="G17" s="44">
        <v>-12371.7082549835</v>
      </c>
      <c r="H17" s="44"/>
    </row>
    <row r="18" spans="1:33" x14ac:dyDescent="0.25">
      <c r="I18" s="47" t="s">
        <v>68</v>
      </c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V18" s="47" t="s">
        <v>68</v>
      </c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</row>
    <row r="19" spans="1:33" x14ac:dyDescent="0.25">
      <c r="I19" s="20">
        <v>5.8374519999999999</v>
      </c>
      <c r="J19" s="20">
        <v>27.662946000000002</v>
      </c>
      <c r="K19" s="20">
        <v>11.043305999999999</v>
      </c>
      <c r="L19" s="20">
        <v>-0.104213</v>
      </c>
      <c r="M19" s="20">
        <v>-45686.590880000003</v>
      </c>
      <c r="N19" s="20">
        <v>107.298024</v>
      </c>
      <c r="O19" s="20">
        <v>0</v>
      </c>
      <c r="P19" s="20">
        <v>0</v>
      </c>
      <c r="Q19" s="20">
        <v>0</v>
      </c>
      <c r="R19" s="20">
        <v>0</v>
      </c>
      <c r="S19" s="20">
        <v>-20466.661437999999</v>
      </c>
      <c r="T19" s="20">
        <v>0</v>
      </c>
      <c r="V19">
        <v>638.07666700000004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 s="47" t="s">
        <v>58</v>
      </c>
      <c r="B20" s="47"/>
      <c r="C20" s="47"/>
      <c r="D20" s="47"/>
      <c r="E20" s="47"/>
      <c r="F20" s="47"/>
      <c r="G20" s="47"/>
      <c r="I20" s="20">
        <v>-27.840848000000001</v>
      </c>
      <c r="J20" s="20">
        <v>-141.41238999999999</v>
      </c>
      <c r="K20" s="20">
        <v>-3.209848</v>
      </c>
      <c r="L20" s="20">
        <v>46128.725455</v>
      </c>
      <c r="M20" s="20">
        <v>-0.184942</v>
      </c>
      <c r="N20" s="20">
        <v>-401006.06239099998</v>
      </c>
      <c r="O20" s="20">
        <v>0</v>
      </c>
      <c r="P20" s="20">
        <v>0</v>
      </c>
      <c r="Q20" s="20">
        <v>0</v>
      </c>
      <c r="R20" s="20">
        <v>10233.330719</v>
      </c>
      <c r="S20" s="20">
        <v>-1012.090508</v>
      </c>
      <c r="T20" s="20">
        <v>0</v>
      </c>
      <c r="V20">
        <v>0</v>
      </c>
      <c r="W20">
        <v>638.07666700000004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B21" s="20">
        <v>-3.8734357325639999</v>
      </c>
      <c r="C21" s="20">
        <v>-0.112620325277</v>
      </c>
      <c r="D21" s="20">
        <v>59.094128369604</v>
      </c>
      <c r="E21" s="20">
        <v>-4.1246782842999999E-2</v>
      </c>
      <c r="F21" s="20">
        <v>29.671961836885</v>
      </c>
      <c r="G21" s="20">
        <v>-0.629555658563</v>
      </c>
      <c r="I21" s="20">
        <v>-105.928106</v>
      </c>
      <c r="J21" s="20">
        <v>3.1592020000000001</v>
      </c>
      <c r="K21" s="20">
        <v>-511.39095200000003</v>
      </c>
      <c r="L21" s="20">
        <v>-108.66412</v>
      </c>
      <c r="M21" s="20">
        <v>399203.41814099997</v>
      </c>
      <c r="N21" s="20">
        <v>-7.0614999999999997E-2</v>
      </c>
      <c r="O21" s="20">
        <v>0</v>
      </c>
      <c r="P21" s="20">
        <v>0</v>
      </c>
      <c r="Q21" s="20">
        <v>0</v>
      </c>
      <c r="R21" s="20">
        <v>-17724.648735999999</v>
      </c>
      <c r="S21" s="20">
        <v>-584.33072800000002</v>
      </c>
      <c r="T21" s="20">
        <v>0</v>
      </c>
      <c r="V21">
        <v>0</v>
      </c>
      <c r="W21">
        <v>0</v>
      </c>
      <c r="X21">
        <v>638.37270999999998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B22" s="20">
        <v>4.325358346E-3</v>
      </c>
      <c r="C22" s="20">
        <v>-141.41238522714801</v>
      </c>
      <c r="D22" s="20">
        <v>-3.7503130288000001E-2</v>
      </c>
      <c r="E22" s="20">
        <v>303.24033214175</v>
      </c>
      <c r="F22" s="20">
        <v>-7.4909526961000006E-2</v>
      </c>
      <c r="G22" s="20">
        <v>983.639459544798</v>
      </c>
      <c r="I22" s="20">
        <v>-0.51882799999999996</v>
      </c>
      <c r="J22" s="20">
        <v>-354.89624099999997</v>
      </c>
      <c r="K22" s="20">
        <v>1.7759100000000001</v>
      </c>
      <c r="L22" s="20">
        <v>-20612.068106999999</v>
      </c>
      <c r="M22" s="20">
        <v>-316.53265599999997</v>
      </c>
      <c r="N22" s="20">
        <v>8280.1454720000002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V22">
        <v>0</v>
      </c>
      <c r="W22">
        <v>0</v>
      </c>
      <c r="X22">
        <v>0</v>
      </c>
      <c r="Y22">
        <v>9496</v>
      </c>
      <c r="Z22">
        <v>0</v>
      </c>
      <c r="AA22">
        <v>-982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B23" s="20">
        <v>-69.276680198224994</v>
      </c>
      <c r="C23" s="20">
        <v>-4.7011201283000001E-2</v>
      </c>
      <c r="D23" s="20">
        <v>-522.56727826926306</v>
      </c>
      <c r="E23" s="20">
        <v>-4.6912622059999999E-3</v>
      </c>
      <c r="F23" s="20">
        <v>-2745.6927814420601</v>
      </c>
      <c r="G23" s="20">
        <v>-7.1603417948E-2</v>
      </c>
      <c r="I23" s="20">
        <v>7.7198029999999997</v>
      </c>
      <c r="J23" s="20">
        <v>-1.2895E-2</v>
      </c>
      <c r="K23" s="20">
        <v>-200.936623</v>
      </c>
      <c r="L23" s="20">
        <v>2329.5308479999999</v>
      </c>
      <c r="M23" s="20">
        <v>-51254.443507999997</v>
      </c>
      <c r="N23" s="20">
        <v>-341.05887000000001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V23">
        <v>0</v>
      </c>
      <c r="W23">
        <v>0</v>
      </c>
      <c r="X23">
        <v>3.8870469999999999</v>
      </c>
      <c r="Y23">
        <v>0</v>
      </c>
      <c r="Z23">
        <v>55814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B24" s="20">
        <v>-0.124434250302</v>
      </c>
      <c r="C24" s="20">
        <v>-354.89620783986601</v>
      </c>
      <c r="D24" s="20">
        <v>1.773207054085</v>
      </c>
      <c r="E24" s="20">
        <v>-21551.1419570978</v>
      </c>
      <c r="F24" s="20">
        <v>0</v>
      </c>
      <c r="G24" s="20">
        <v>6435.1679175326099</v>
      </c>
      <c r="I24" s="20">
        <v>0.77915299999999998</v>
      </c>
      <c r="J24" s="20">
        <v>1236.814689</v>
      </c>
      <c r="K24" s="20">
        <v>0.34464800000000001</v>
      </c>
      <c r="L24" s="20">
        <v>-7440.7201500000001</v>
      </c>
      <c r="M24" s="20">
        <v>348.64304600000003</v>
      </c>
      <c r="N24" s="20">
        <v>-12796.289752999999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V24">
        <v>0</v>
      </c>
      <c r="W24">
        <v>0</v>
      </c>
      <c r="X24">
        <v>0</v>
      </c>
      <c r="Y24">
        <v>-982</v>
      </c>
      <c r="Z24">
        <v>0</v>
      </c>
      <c r="AA24">
        <v>63100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B25" s="20">
        <v>22.759849980237</v>
      </c>
      <c r="C25" s="20">
        <v>-1.2880806813000001E-2</v>
      </c>
      <c r="D25" s="20">
        <v>-199.64347325691699</v>
      </c>
      <c r="E25" s="20">
        <v>-4.691262186E-3</v>
      </c>
      <c r="F25" s="20">
        <v>-51253.824572411999</v>
      </c>
      <c r="G25" s="20">
        <v>-7.1603417988000004E-2</v>
      </c>
      <c r="I25" s="20">
        <v>0.99837399999999998</v>
      </c>
      <c r="J25" s="20">
        <v>4.9369999999999997E-2</v>
      </c>
      <c r="K25" s="20">
        <v>2.8504000000000002E-2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-3.53241</v>
      </c>
      <c r="S25" s="20">
        <v>0</v>
      </c>
      <c r="T25" s="20">
        <v>61.963535999999998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B26" s="20">
        <v>-0.121591964266</v>
      </c>
      <c r="C26" s="20">
        <v>1236.81462287727</v>
      </c>
      <c r="D26" s="20">
        <v>0.33304085275</v>
      </c>
      <c r="E26" s="20">
        <v>-2485.37751371791</v>
      </c>
      <c r="F26" s="20">
        <v>7.4909526961000006E-2</v>
      </c>
      <c r="G26" s="20">
        <v>-13086.796349923599</v>
      </c>
      <c r="I26" s="20">
        <v>0</v>
      </c>
      <c r="J26" s="20">
        <v>0.5</v>
      </c>
      <c r="K26" s="20">
        <v>-0.86602500000000004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-35.96996</v>
      </c>
      <c r="S26" s="20">
        <v>0</v>
      </c>
      <c r="T26" s="20">
        <v>630.96475399999997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I27" s="20">
        <v>-5.7008000000000003E-2</v>
      </c>
      <c r="J27" s="20">
        <v>0.86461699999999997</v>
      </c>
      <c r="K27" s="20">
        <v>0.49918699999999999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-61.862766000000001</v>
      </c>
      <c r="S27" s="20">
        <v>-630.96475399999997</v>
      </c>
      <c r="T27" s="20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</row>
    <row r="28" spans="1:33" x14ac:dyDescent="0.25">
      <c r="I28" s="20">
        <v>0</v>
      </c>
      <c r="J28" s="20">
        <v>0</v>
      </c>
      <c r="K28" s="20">
        <v>0</v>
      </c>
      <c r="L28" s="20">
        <v>1</v>
      </c>
      <c r="M28" s="20">
        <v>4.9451000000000002E-2</v>
      </c>
      <c r="N28" s="20">
        <v>2.8549999999999999E-2</v>
      </c>
      <c r="O28" s="20">
        <v>0</v>
      </c>
      <c r="P28" s="20">
        <v>0</v>
      </c>
      <c r="Q28" s="20">
        <v>0</v>
      </c>
      <c r="R28" s="20">
        <v>0</v>
      </c>
      <c r="S28" s="20">
        <v>8.7346999999999994E-2</v>
      </c>
      <c r="T28" s="20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</row>
    <row r="29" spans="1:33" x14ac:dyDescent="0.25">
      <c r="A29" s="47" t="s">
        <v>62</v>
      </c>
      <c r="B29" s="47"/>
      <c r="C29" s="47"/>
      <c r="D29" s="47"/>
      <c r="E29" s="47"/>
      <c r="F29" s="47"/>
      <c r="G29" s="47"/>
      <c r="I29" s="20">
        <v>0</v>
      </c>
      <c r="J29" s="20">
        <v>0</v>
      </c>
      <c r="K29" s="20">
        <v>0</v>
      </c>
      <c r="L29" s="20">
        <v>0</v>
      </c>
      <c r="M29" s="20">
        <v>0.5</v>
      </c>
      <c r="N29" s="20">
        <v>-0.86602500000000004</v>
      </c>
      <c r="O29" s="20">
        <v>0</v>
      </c>
      <c r="P29" s="20">
        <v>0</v>
      </c>
      <c r="Q29" s="20">
        <v>0</v>
      </c>
      <c r="R29" s="20">
        <v>-8.7063000000000001E-2</v>
      </c>
      <c r="S29" s="20">
        <v>0</v>
      </c>
      <c r="T29" s="20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</row>
    <row r="30" spans="1:33" x14ac:dyDescent="0.25">
      <c r="B30" s="20">
        <v>-0.88470055508199996</v>
      </c>
      <c r="C30" s="20">
        <v>-0.111817898747</v>
      </c>
      <c r="D30" s="20">
        <v>59.434055845438003</v>
      </c>
      <c r="E30" s="20">
        <v>-4.1246782842999999E-2</v>
      </c>
      <c r="F30" s="20">
        <v>29.671961836885</v>
      </c>
      <c r="G30" s="20">
        <v>-0.629555658563</v>
      </c>
      <c r="I30" s="20">
        <v>0</v>
      </c>
      <c r="J30" s="20">
        <v>0</v>
      </c>
      <c r="K30" s="20">
        <v>0</v>
      </c>
      <c r="L30" s="20">
        <v>0</v>
      </c>
      <c r="M30" s="20">
        <v>0.86743599999999998</v>
      </c>
      <c r="N30" s="20">
        <v>0.50081399999999998</v>
      </c>
      <c r="O30" s="20">
        <v>0</v>
      </c>
      <c r="P30" s="20">
        <v>0</v>
      </c>
      <c r="Q30" s="20">
        <v>0</v>
      </c>
      <c r="R30" s="20">
        <v>0</v>
      </c>
      <c r="S30" s="20">
        <v>4.9789999999999999E-3</v>
      </c>
      <c r="T30" s="2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25">
      <c r="B31" s="20">
        <v>-2.2364351657000001E-2</v>
      </c>
      <c r="C31" s="20">
        <v>-141.41240242940199</v>
      </c>
      <c r="D31" s="20">
        <v>-4.0538722887999999E-2</v>
      </c>
      <c r="E31" s="20">
        <v>303.24033214175</v>
      </c>
      <c r="F31" s="20">
        <v>-7.4909526961000006E-2</v>
      </c>
      <c r="G31" s="20">
        <v>983.63945954479902</v>
      </c>
    </row>
    <row r="32" spans="1:33" x14ac:dyDescent="0.25">
      <c r="B32" s="20">
        <v>-95.260149339380007</v>
      </c>
      <c r="C32" s="20">
        <v>-5.3987476649999998E-2</v>
      </c>
      <c r="D32" s="20">
        <v>-525.52254420294798</v>
      </c>
      <c r="E32" s="20">
        <v>-4.6912622059999999E-3</v>
      </c>
      <c r="F32" s="20">
        <v>-2745.6927814420601</v>
      </c>
      <c r="G32" s="20">
        <v>-7.1603417948E-2</v>
      </c>
      <c r="I32" s="47" t="s">
        <v>70</v>
      </c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</row>
    <row r="33" spans="1:33" x14ac:dyDescent="0.25">
      <c r="B33" s="20">
        <v>-0.62212692342800002</v>
      </c>
      <c r="C33" s="20">
        <v>-354.89636668140503</v>
      </c>
      <c r="D33" s="20">
        <v>1.7166012623019999</v>
      </c>
      <c r="E33" s="20">
        <v>-21551.1419570978</v>
      </c>
      <c r="F33" s="20">
        <v>0</v>
      </c>
      <c r="G33" s="20">
        <v>6435.1679175326099</v>
      </c>
      <c r="I33" s="20">
        <f>I19-I4</f>
        <v>1.2100000000003774E-4</v>
      </c>
      <c r="J33" s="20">
        <f t="shared" ref="J33:T33" si="0">J19-J4</f>
        <v>-0.18053899999999956</v>
      </c>
      <c r="K33" s="20">
        <f t="shared" si="0"/>
        <v>0.31274200000000008</v>
      </c>
      <c r="L33" s="26">
        <f t="shared" si="0"/>
        <v>-1.0000000000010001E-6</v>
      </c>
      <c r="M33" s="26">
        <f t="shared" si="0"/>
        <v>-45716.262690000003</v>
      </c>
      <c r="N33" s="26">
        <f t="shared" si="0"/>
        <v>107.918886</v>
      </c>
      <c r="O33" s="20">
        <f t="shared" si="0"/>
        <v>0</v>
      </c>
      <c r="P33" s="20">
        <f t="shared" si="0"/>
        <v>0</v>
      </c>
      <c r="Q33" s="20">
        <f t="shared" si="0"/>
        <v>0</v>
      </c>
      <c r="R33" s="20">
        <f t="shared" si="0"/>
        <v>0</v>
      </c>
      <c r="S33" s="20">
        <f t="shared" si="0"/>
        <v>6.7100000160280615E-4</v>
      </c>
      <c r="T33" s="20">
        <f t="shared" si="0"/>
        <v>0</v>
      </c>
      <c r="V33" s="20">
        <f>V19-V4</f>
        <v>7.0000000960135367E-6</v>
      </c>
      <c r="W33" s="20">
        <f t="shared" ref="W33:AG33" si="1">W19-W4</f>
        <v>0</v>
      </c>
      <c r="X33" s="20">
        <f t="shared" si="1"/>
        <v>0</v>
      </c>
      <c r="Y33" s="20">
        <f t="shared" si="1"/>
        <v>0</v>
      </c>
      <c r="Z33" s="20">
        <f t="shared" si="1"/>
        <v>0</v>
      </c>
      <c r="AA33" s="20">
        <f t="shared" si="1"/>
        <v>0</v>
      </c>
      <c r="AB33" s="20">
        <f t="shared" si="1"/>
        <v>0</v>
      </c>
      <c r="AC33" s="20">
        <f t="shared" si="1"/>
        <v>0</v>
      </c>
      <c r="AD33" s="20">
        <f t="shared" si="1"/>
        <v>0</v>
      </c>
      <c r="AE33" s="20">
        <f t="shared" si="1"/>
        <v>0</v>
      </c>
      <c r="AF33" s="20">
        <f t="shared" si="1"/>
        <v>0</v>
      </c>
      <c r="AG33" s="20">
        <f t="shared" si="1"/>
        <v>0</v>
      </c>
    </row>
    <row r="34" spans="1:33" x14ac:dyDescent="0.25">
      <c r="B34" s="20">
        <v>30.377770628977</v>
      </c>
      <c r="C34" s="20">
        <v>-1.0835481496999999E-2</v>
      </c>
      <c r="D34" s="20">
        <v>-198.77704349939799</v>
      </c>
      <c r="E34" s="20">
        <v>-4.691262186E-3</v>
      </c>
      <c r="F34" s="20">
        <v>-51253.824572411999</v>
      </c>
      <c r="G34" s="20">
        <v>-7.1603417988000004E-2</v>
      </c>
      <c r="I34" s="20">
        <f t="shared" ref="I34:T34" si="2">I20-I5</f>
        <v>0.18053699999999751</v>
      </c>
      <c r="J34" s="20">
        <f t="shared" si="2"/>
        <v>9.0000000056988938E-6</v>
      </c>
      <c r="K34" s="20">
        <f t="shared" si="2"/>
        <v>2.0617999999999803E-2</v>
      </c>
      <c r="L34" s="26">
        <f t="shared" si="2"/>
        <v>45716.268698</v>
      </c>
      <c r="M34" s="26">
        <f t="shared" si="2"/>
        <v>-2.0000000000020002E-6</v>
      </c>
      <c r="N34" s="26">
        <f t="shared" si="2"/>
        <v>2591.4688590000151</v>
      </c>
      <c r="O34" s="20">
        <f t="shared" si="2"/>
        <v>0</v>
      </c>
      <c r="P34" s="20">
        <f t="shared" si="2"/>
        <v>0</v>
      </c>
      <c r="Q34" s="20">
        <f t="shared" si="2"/>
        <v>0</v>
      </c>
      <c r="R34" s="20">
        <f t="shared" si="2"/>
        <v>-3.3600000097067095E-4</v>
      </c>
      <c r="S34" s="20">
        <f t="shared" si="2"/>
        <v>6.999999982326699E-6</v>
      </c>
      <c r="T34" s="20">
        <f t="shared" si="2"/>
        <v>0</v>
      </c>
      <c r="V34" s="20">
        <f t="shared" ref="V34:AG34" si="3">V20-V5</f>
        <v>0</v>
      </c>
      <c r="W34" s="20">
        <f t="shared" si="3"/>
        <v>7.0000000960135367E-6</v>
      </c>
      <c r="X34" s="20">
        <f t="shared" si="3"/>
        <v>0</v>
      </c>
      <c r="Y34" s="20">
        <f t="shared" si="3"/>
        <v>0</v>
      </c>
      <c r="Z34" s="20">
        <f t="shared" si="3"/>
        <v>0</v>
      </c>
      <c r="AA34" s="20">
        <f t="shared" si="3"/>
        <v>0</v>
      </c>
      <c r="AB34" s="20">
        <f t="shared" si="3"/>
        <v>0</v>
      </c>
      <c r="AC34" s="20">
        <f t="shared" si="3"/>
        <v>0</v>
      </c>
      <c r="AD34" s="20">
        <f t="shared" si="3"/>
        <v>0</v>
      </c>
      <c r="AE34" s="20">
        <f t="shared" si="3"/>
        <v>0</v>
      </c>
      <c r="AF34" s="20">
        <f t="shared" si="3"/>
        <v>0</v>
      </c>
      <c r="AG34" s="20">
        <f t="shared" si="3"/>
        <v>0</v>
      </c>
    </row>
    <row r="35" spans="1:33" x14ac:dyDescent="0.25">
      <c r="B35" s="20">
        <v>0.407383856933</v>
      </c>
      <c r="C35" s="20">
        <v>1236.8148527697799</v>
      </c>
      <c r="D35" s="20">
        <v>0.39320467841500001</v>
      </c>
      <c r="E35" s="20">
        <v>-2485.37751371791</v>
      </c>
      <c r="F35" s="20">
        <v>7.4909526961000006E-2</v>
      </c>
      <c r="G35" s="20">
        <v>-13086.796349923599</v>
      </c>
      <c r="I35" s="20">
        <f t="shared" ref="I35:T35" si="4">I21-I6</f>
        <v>-0.31268900000000599</v>
      </c>
      <c r="J35" s="20">
        <f t="shared" si="4"/>
        <v>-2.0617999999999803E-2</v>
      </c>
      <c r="K35" s="20">
        <f t="shared" si="4"/>
        <v>8.9999999772771844E-6</v>
      </c>
      <c r="L35" s="26">
        <f t="shared" si="4"/>
        <v>-107.91890099999999</v>
      </c>
      <c r="M35" s="26">
        <f t="shared" si="4"/>
        <v>-2591.4881090000272</v>
      </c>
      <c r="N35" s="26">
        <f t="shared" si="4"/>
        <v>0</v>
      </c>
      <c r="O35" s="20">
        <f t="shared" si="4"/>
        <v>0</v>
      </c>
      <c r="P35" s="20">
        <f t="shared" si="4"/>
        <v>0</v>
      </c>
      <c r="Q35" s="20">
        <f t="shared" si="4"/>
        <v>0</v>
      </c>
      <c r="R35" s="20">
        <f t="shared" si="4"/>
        <v>-2.9799999902024865E-4</v>
      </c>
      <c r="S35" s="20">
        <f t="shared" si="4"/>
        <v>2.199999994445534E-5</v>
      </c>
      <c r="T35" s="20">
        <f t="shared" si="4"/>
        <v>0</v>
      </c>
      <c r="V35" s="20">
        <f t="shared" ref="V35:AG35" si="5">V21-V6</f>
        <v>0</v>
      </c>
      <c r="W35" s="20">
        <f t="shared" si="5"/>
        <v>0</v>
      </c>
      <c r="X35" s="20">
        <f t="shared" si="5"/>
        <v>2.8999999926782039E-5</v>
      </c>
      <c r="Y35" s="20">
        <f t="shared" si="5"/>
        <v>0</v>
      </c>
      <c r="Z35" s="20">
        <f t="shared" si="5"/>
        <v>0</v>
      </c>
      <c r="AA35" s="20">
        <f t="shared" si="5"/>
        <v>0</v>
      </c>
      <c r="AB35" s="20">
        <f t="shared" si="5"/>
        <v>0</v>
      </c>
      <c r="AC35" s="20">
        <f t="shared" si="5"/>
        <v>0</v>
      </c>
      <c r="AD35" s="20">
        <f t="shared" si="5"/>
        <v>0</v>
      </c>
      <c r="AE35" s="20">
        <f t="shared" si="5"/>
        <v>0</v>
      </c>
      <c r="AF35" s="20">
        <f t="shared" si="5"/>
        <v>0</v>
      </c>
      <c r="AG35" s="20">
        <f t="shared" si="5"/>
        <v>0</v>
      </c>
    </row>
    <row r="36" spans="1:33" x14ac:dyDescent="0.25">
      <c r="I36" s="20">
        <f t="shared" ref="I36:T36" si="6">I22-I7</f>
        <v>0</v>
      </c>
      <c r="J36" s="20">
        <f t="shared" si="6"/>
        <v>-9.9999999747524271E-7</v>
      </c>
      <c r="K36" s="20">
        <f t="shared" si="6"/>
        <v>0</v>
      </c>
      <c r="L36" s="20">
        <f t="shared" si="6"/>
        <v>-0.7282630000008794</v>
      </c>
      <c r="M36" s="20">
        <f t="shared" si="6"/>
        <v>2.0933210000000031</v>
      </c>
      <c r="N36" s="20">
        <f t="shared" si="6"/>
        <v>3.675745000000461</v>
      </c>
      <c r="O36" s="20">
        <f t="shared" si="6"/>
        <v>0</v>
      </c>
      <c r="P36" s="20">
        <f t="shared" si="6"/>
        <v>0</v>
      </c>
      <c r="Q36" s="20">
        <f t="shared" si="6"/>
        <v>0</v>
      </c>
      <c r="R36" s="20">
        <f t="shared" si="6"/>
        <v>0</v>
      </c>
      <c r="S36" s="20">
        <f t="shared" si="6"/>
        <v>0</v>
      </c>
      <c r="T36" s="20">
        <f t="shared" si="6"/>
        <v>0</v>
      </c>
      <c r="V36" s="20">
        <f t="shared" ref="V36:AG36" si="7">V22-V7</f>
        <v>0</v>
      </c>
      <c r="W36" s="20">
        <f t="shared" si="7"/>
        <v>0</v>
      </c>
      <c r="X36" s="20">
        <f t="shared" si="7"/>
        <v>0</v>
      </c>
      <c r="Y36" s="20">
        <f t="shared" si="7"/>
        <v>0</v>
      </c>
      <c r="Z36" s="20">
        <f t="shared" si="7"/>
        <v>0</v>
      </c>
      <c r="AA36" s="20">
        <f t="shared" si="7"/>
        <v>0</v>
      </c>
      <c r="AB36" s="20">
        <f t="shared" si="7"/>
        <v>0</v>
      </c>
      <c r="AC36" s="20">
        <f t="shared" si="7"/>
        <v>0</v>
      </c>
      <c r="AD36" s="20">
        <f t="shared" si="7"/>
        <v>0</v>
      </c>
      <c r="AE36" s="20">
        <f t="shared" si="7"/>
        <v>0</v>
      </c>
      <c r="AF36" s="20">
        <f t="shared" si="7"/>
        <v>0</v>
      </c>
      <c r="AG36" s="20">
        <f t="shared" si="7"/>
        <v>0</v>
      </c>
    </row>
    <row r="37" spans="1:33" x14ac:dyDescent="0.25">
      <c r="I37" s="20">
        <f t="shared" ref="I37:T37" si="8">I23-I8</f>
        <v>1.1999999999900979E-5</v>
      </c>
      <c r="J37" s="20">
        <f t="shared" si="8"/>
        <v>0</v>
      </c>
      <c r="K37" s="20">
        <f t="shared" si="8"/>
        <v>7.0000000107484084E-6</v>
      </c>
      <c r="L37" s="20">
        <f t="shared" si="8"/>
        <v>-15.230382000000191</v>
      </c>
      <c r="M37" s="20">
        <f t="shared" si="8"/>
        <v>-0.61928899999475107</v>
      </c>
      <c r="N37" s="20">
        <f t="shared" si="8"/>
        <v>1.1763589999999908</v>
      </c>
      <c r="O37" s="20">
        <f t="shared" si="8"/>
        <v>0</v>
      </c>
      <c r="P37" s="20">
        <f t="shared" si="8"/>
        <v>0</v>
      </c>
      <c r="Q37" s="20">
        <f t="shared" si="8"/>
        <v>0</v>
      </c>
      <c r="R37" s="20">
        <f t="shared" si="8"/>
        <v>0</v>
      </c>
      <c r="S37" s="20">
        <f t="shared" si="8"/>
        <v>0</v>
      </c>
      <c r="T37" s="20">
        <f t="shared" si="8"/>
        <v>0</v>
      </c>
      <c r="V37" s="20">
        <f t="shared" ref="V37:AG37" si="9">V23-V8</f>
        <v>0</v>
      </c>
      <c r="W37" s="20">
        <f t="shared" si="9"/>
        <v>0</v>
      </c>
      <c r="X37" s="20">
        <f t="shared" si="9"/>
        <v>0</v>
      </c>
      <c r="Y37" s="20">
        <f t="shared" si="9"/>
        <v>0</v>
      </c>
      <c r="Z37" s="20">
        <f t="shared" si="9"/>
        <v>0</v>
      </c>
      <c r="AA37" s="20">
        <f t="shared" si="9"/>
        <v>0</v>
      </c>
      <c r="AB37" s="20">
        <f t="shared" si="9"/>
        <v>0</v>
      </c>
      <c r="AC37" s="20">
        <f t="shared" si="9"/>
        <v>0</v>
      </c>
      <c r="AD37" s="20">
        <f t="shared" si="9"/>
        <v>0</v>
      </c>
      <c r="AE37" s="20">
        <f t="shared" si="9"/>
        <v>0</v>
      </c>
      <c r="AF37" s="20">
        <f t="shared" si="9"/>
        <v>0</v>
      </c>
      <c r="AG37" s="20">
        <f t="shared" si="9"/>
        <v>0</v>
      </c>
    </row>
    <row r="38" spans="1:33" x14ac:dyDescent="0.25">
      <c r="A38" s="47" t="s">
        <v>63</v>
      </c>
      <c r="B38" s="47"/>
      <c r="C38" s="47"/>
      <c r="D38" s="47"/>
      <c r="E38" s="47"/>
      <c r="F38" s="47"/>
      <c r="G38" s="47"/>
      <c r="I38" s="20">
        <f t="shared" ref="I38:T38" si="10">I24-I9</f>
        <v>0</v>
      </c>
      <c r="J38" s="20">
        <f t="shared" si="10"/>
        <v>-7.9999999798019417E-6</v>
      </c>
      <c r="K38" s="20">
        <f t="shared" si="10"/>
        <v>0</v>
      </c>
      <c r="L38" s="20">
        <f t="shared" si="10"/>
        <v>22.651920000000246</v>
      </c>
      <c r="M38" s="20">
        <f t="shared" si="10"/>
        <v>-1.2187699999999495</v>
      </c>
      <c r="N38" s="20">
        <f t="shared" si="10"/>
        <v>0.32938800000010815</v>
      </c>
      <c r="O38" s="20">
        <f t="shared" si="10"/>
        <v>0</v>
      </c>
      <c r="P38" s="20">
        <f t="shared" si="10"/>
        <v>0</v>
      </c>
      <c r="Q38" s="20">
        <f t="shared" si="10"/>
        <v>0</v>
      </c>
      <c r="R38" s="20">
        <f t="shared" si="10"/>
        <v>0</v>
      </c>
      <c r="S38" s="20">
        <f t="shared" si="10"/>
        <v>0</v>
      </c>
      <c r="T38" s="20">
        <f t="shared" si="10"/>
        <v>0</v>
      </c>
      <c r="V38" s="20">
        <f t="shared" ref="V38:AG38" si="11">V24-V9</f>
        <v>0</v>
      </c>
      <c r="W38" s="20">
        <f t="shared" si="11"/>
        <v>0</v>
      </c>
      <c r="X38" s="20">
        <f t="shared" si="11"/>
        <v>0</v>
      </c>
      <c r="Y38" s="20">
        <f t="shared" si="11"/>
        <v>0</v>
      </c>
      <c r="Z38" s="20">
        <f t="shared" si="11"/>
        <v>0</v>
      </c>
      <c r="AA38" s="20">
        <f t="shared" si="11"/>
        <v>0</v>
      </c>
      <c r="AB38" s="20">
        <f t="shared" si="11"/>
        <v>0</v>
      </c>
      <c r="AC38" s="20">
        <f t="shared" si="11"/>
        <v>0</v>
      </c>
      <c r="AD38" s="20">
        <f t="shared" si="11"/>
        <v>0</v>
      </c>
      <c r="AE38" s="20">
        <f t="shared" si="11"/>
        <v>0</v>
      </c>
      <c r="AF38" s="20">
        <f t="shared" si="11"/>
        <v>0</v>
      </c>
      <c r="AG38" s="20">
        <f t="shared" si="11"/>
        <v>0</v>
      </c>
    </row>
    <row r="39" spans="1:33" x14ac:dyDescent="0.25">
      <c r="B39" s="20">
        <v>5.8373309999999998</v>
      </c>
      <c r="C39" s="20">
        <v>-0.113375</v>
      </c>
      <c r="D39" s="20">
        <v>59.153263000000003</v>
      </c>
      <c r="E39">
        <v>-0.104212</v>
      </c>
      <c r="F39">
        <v>29.671810000000001</v>
      </c>
      <c r="G39">
        <v>-0.62086200000000002</v>
      </c>
      <c r="I39" s="20">
        <f t="shared" ref="I39:T39" si="12">I25-I10</f>
        <v>0</v>
      </c>
      <c r="J39" s="20">
        <f t="shared" si="12"/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  <c r="O39" s="20">
        <f t="shared" si="12"/>
        <v>0</v>
      </c>
      <c r="P39" s="20">
        <f t="shared" si="12"/>
        <v>0</v>
      </c>
      <c r="Q39" s="20">
        <f t="shared" si="12"/>
        <v>0</v>
      </c>
      <c r="R39" s="20">
        <f t="shared" si="12"/>
        <v>-3.53241</v>
      </c>
      <c r="S39" s="20">
        <f t="shared" si="12"/>
        <v>36.142994000000002</v>
      </c>
      <c r="T39" s="20">
        <f t="shared" si="12"/>
        <v>61.963535999999998</v>
      </c>
      <c r="V39" s="20">
        <f t="shared" ref="V39:AG39" si="13">V25-V10</f>
        <v>0</v>
      </c>
      <c r="W39" s="20">
        <f t="shared" si="13"/>
        <v>0</v>
      </c>
      <c r="X39" s="20">
        <f t="shared" si="13"/>
        <v>0</v>
      </c>
      <c r="Y39" s="20">
        <f t="shared" si="13"/>
        <v>0</v>
      </c>
      <c r="Z39" s="20">
        <f t="shared" si="13"/>
        <v>0</v>
      </c>
      <c r="AA39" s="20">
        <f t="shared" si="13"/>
        <v>0</v>
      </c>
      <c r="AB39" s="20">
        <f t="shared" si="13"/>
        <v>0</v>
      </c>
      <c r="AC39" s="20">
        <f t="shared" si="13"/>
        <v>0</v>
      </c>
      <c r="AD39" s="20">
        <f t="shared" si="13"/>
        <v>0</v>
      </c>
      <c r="AE39" s="20">
        <f t="shared" si="13"/>
        <v>0</v>
      </c>
      <c r="AF39" s="20">
        <f t="shared" si="13"/>
        <v>0</v>
      </c>
      <c r="AG39" s="20">
        <f t="shared" si="13"/>
        <v>0</v>
      </c>
    </row>
    <row r="40" spans="1:33" x14ac:dyDescent="0.25">
      <c r="B40" s="20">
        <v>-6.4527000000000001E-2</v>
      </c>
      <c r="C40" s="20">
        <v>-141.41239899999999</v>
      </c>
      <c r="D40" s="20">
        <v>-3.7752000000000001E-2</v>
      </c>
      <c r="E40">
        <v>412.45675699999998</v>
      </c>
      <c r="F40">
        <v>-0.18493999999999999</v>
      </c>
      <c r="G40">
        <v>943.06982400000004</v>
      </c>
      <c r="I40" s="20">
        <f t="shared" ref="I40:T40" si="14">I26-I11</f>
        <v>0</v>
      </c>
      <c r="J40" s="20">
        <f t="shared" si="14"/>
        <v>0</v>
      </c>
      <c r="K40" s="20">
        <f t="shared" si="14"/>
        <v>0</v>
      </c>
      <c r="L40" s="20">
        <f t="shared" si="14"/>
        <v>0</v>
      </c>
      <c r="M40" s="20">
        <f t="shared" si="14"/>
        <v>0</v>
      </c>
      <c r="N40" s="20">
        <f t="shared" si="14"/>
        <v>0</v>
      </c>
      <c r="O40" s="20">
        <f t="shared" si="14"/>
        <v>0</v>
      </c>
      <c r="P40" s="20">
        <f t="shared" si="14"/>
        <v>0</v>
      </c>
      <c r="Q40" s="20">
        <f t="shared" si="14"/>
        <v>0</v>
      </c>
      <c r="R40" s="20">
        <f t="shared" si="14"/>
        <v>-35.96996</v>
      </c>
      <c r="S40" s="20">
        <f t="shared" si="14"/>
        <v>0</v>
      </c>
      <c r="T40" s="20">
        <f t="shared" si="14"/>
        <v>-2.0041790000000219</v>
      </c>
      <c r="V40" s="20">
        <f t="shared" ref="V40:AG40" si="15">V26-V11</f>
        <v>0</v>
      </c>
      <c r="W40" s="20">
        <f t="shared" si="15"/>
        <v>0</v>
      </c>
      <c r="X40" s="20">
        <f t="shared" si="15"/>
        <v>0</v>
      </c>
      <c r="Y40" s="20">
        <f t="shared" si="15"/>
        <v>0</v>
      </c>
      <c r="Z40" s="20">
        <f t="shared" si="15"/>
        <v>0</v>
      </c>
      <c r="AA40" s="20">
        <f t="shared" si="15"/>
        <v>0</v>
      </c>
      <c r="AB40" s="20">
        <f t="shared" si="15"/>
        <v>0</v>
      </c>
      <c r="AC40" s="20">
        <f t="shared" si="15"/>
        <v>0</v>
      </c>
      <c r="AD40" s="20">
        <f t="shared" si="15"/>
        <v>0</v>
      </c>
      <c r="AE40" s="20">
        <f t="shared" si="15"/>
        <v>0</v>
      </c>
      <c r="AF40" s="20">
        <f t="shared" si="15"/>
        <v>0</v>
      </c>
      <c r="AG40" s="20">
        <f t="shared" si="15"/>
        <v>0</v>
      </c>
    </row>
    <row r="41" spans="1:33" x14ac:dyDescent="0.25">
      <c r="B41" s="20">
        <v>-154.038116</v>
      </c>
      <c r="C41" s="20">
        <v>-1.2895E-2</v>
      </c>
      <c r="D41" s="20">
        <v>-511.390961</v>
      </c>
      <c r="E41">
        <v>-0.74521899999999996</v>
      </c>
      <c r="F41">
        <v>-2745.6926269999999</v>
      </c>
      <c r="G41">
        <v>-7.0614999999999997E-2</v>
      </c>
      <c r="I41" s="20">
        <f t="shared" ref="I41:T41" si="16">I27-I12</f>
        <v>0</v>
      </c>
      <c r="J41" s="20">
        <f t="shared" si="16"/>
        <v>0</v>
      </c>
      <c r="K41" s="20">
        <f t="shared" si="16"/>
        <v>0</v>
      </c>
      <c r="L41" s="20">
        <f t="shared" si="16"/>
        <v>0</v>
      </c>
      <c r="M41" s="20">
        <f t="shared" si="16"/>
        <v>0</v>
      </c>
      <c r="N41" s="20">
        <f t="shared" si="16"/>
        <v>0</v>
      </c>
      <c r="O41" s="20">
        <f t="shared" si="16"/>
        <v>0</v>
      </c>
      <c r="P41" s="20">
        <f t="shared" si="16"/>
        <v>0</v>
      </c>
      <c r="Q41" s="20">
        <f t="shared" si="16"/>
        <v>0</v>
      </c>
      <c r="R41" s="20">
        <f t="shared" si="16"/>
        <v>-61.862766000000001</v>
      </c>
      <c r="S41" s="20">
        <f t="shared" si="16"/>
        <v>2.0041790000000219</v>
      </c>
      <c r="T41" s="20">
        <f t="shared" si="16"/>
        <v>0</v>
      </c>
      <c r="V41" s="20">
        <f t="shared" ref="V41:AG41" si="17">V27-V12</f>
        <v>0</v>
      </c>
      <c r="W41" s="20">
        <f t="shared" si="17"/>
        <v>0</v>
      </c>
      <c r="X41" s="20">
        <f t="shared" si="17"/>
        <v>0</v>
      </c>
      <c r="Y41" s="20">
        <f t="shared" si="17"/>
        <v>0</v>
      </c>
      <c r="Z41" s="20">
        <f t="shared" si="17"/>
        <v>0</v>
      </c>
      <c r="AA41" s="20">
        <f t="shared" si="17"/>
        <v>0</v>
      </c>
      <c r="AB41" s="20">
        <f t="shared" si="17"/>
        <v>0</v>
      </c>
      <c r="AC41" s="20">
        <f t="shared" si="17"/>
        <v>0</v>
      </c>
      <c r="AD41" s="20">
        <f t="shared" si="17"/>
        <v>0</v>
      </c>
      <c r="AE41" s="20">
        <f t="shared" si="17"/>
        <v>0</v>
      </c>
      <c r="AF41" s="20">
        <f t="shared" si="17"/>
        <v>0</v>
      </c>
      <c r="AG41" s="20">
        <f t="shared" si="17"/>
        <v>0</v>
      </c>
    </row>
    <row r="42" spans="1:33" x14ac:dyDescent="0.25">
      <c r="B42" s="20">
        <v>-0.51882799999999996</v>
      </c>
      <c r="C42" s="20">
        <v>-354.89623999999998</v>
      </c>
      <c r="D42" s="20">
        <v>1.7759100000000001</v>
      </c>
      <c r="E42">
        <v>-20685.861327999999</v>
      </c>
      <c r="F42">
        <v>5.5183470000000003</v>
      </c>
      <c r="G42">
        <v>8829.3935550000006</v>
      </c>
      <c r="I42" s="20">
        <f t="shared" ref="I42:T42" si="18">I28-I13</f>
        <v>0</v>
      </c>
      <c r="J42" s="20">
        <f t="shared" si="18"/>
        <v>0</v>
      </c>
      <c r="K42" s="20">
        <f t="shared" si="18"/>
        <v>0</v>
      </c>
      <c r="L42" s="20">
        <f t="shared" si="18"/>
        <v>0</v>
      </c>
      <c r="M42" s="20">
        <f t="shared" si="18"/>
        <v>0</v>
      </c>
      <c r="N42" s="20">
        <f t="shared" si="18"/>
        <v>0</v>
      </c>
      <c r="O42" s="20">
        <f t="shared" si="18"/>
        <v>0</v>
      </c>
      <c r="P42" s="20">
        <f t="shared" si="18"/>
        <v>0</v>
      </c>
      <c r="Q42" s="20">
        <f t="shared" si="18"/>
        <v>0</v>
      </c>
      <c r="R42" s="20">
        <f t="shared" si="18"/>
        <v>0</v>
      </c>
      <c r="S42" s="20">
        <f t="shared" si="18"/>
        <v>-5.6700000000001194E-4</v>
      </c>
      <c r="T42" s="20">
        <f t="shared" si="18"/>
        <v>0</v>
      </c>
      <c r="V42" s="20">
        <f t="shared" ref="V42:AG42" si="19">V28-V13</f>
        <v>0</v>
      </c>
      <c r="W42" s="20">
        <f t="shared" si="19"/>
        <v>0</v>
      </c>
      <c r="X42" s="20">
        <f t="shared" si="19"/>
        <v>0</v>
      </c>
      <c r="Y42" s="20">
        <f t="shared" si="19"/>
        <v>0</v>
      </c>
      <c r="Z42" s="20">
        <f t="shared" si="19"/>
        <v>0</v>
      </c>
      <c r="AA42" s="20">
        <f t="shared" si="19"/>
        <v>0</v>
      </c>
      <c r="AB42" s="20">
        <f t="shared" si="19"/>
        <v>0</v>
      </c>
      <c r="AC42" s="20">
        <f t="shared" si="19"/>
        <v>0</v>
      </c>
      <c r="AD42" s="20">
        <f t="shared" si="19"/>
        <v>0</v>
      </c>
      <c r="AE42" s="20">
        <f t="shared" si="19"/>
        <v>0</v>
      </c>
      <c r="AF42" s="20">
        <f t="shared" si="19"/>
        <v>0</v>
      </c>
      <c r="AG42" s="20">
        <f t="shared" si="19"/>
        <v>0</v>
      </c>
    </row>
    <row r="43" spans="1:33" x14ac:dyDescent="0.25">
      <c r="B43">
        <v>7.7197909999999998</v>
      </c>
      <c r="C43">
        <v>-1.2895E-2</v>
      </c>
      <c r="D43">
        <v>-200.93663000000001</v>
      </c>
      <c r="E43">
        <v>-13.685682999999999</v>
      </c>
      <c r="F43">
        <v>-51253.824219000002</v>
      </c>
      <c r="G43">
        <v>-7.0614999999999997E-2</v>
      </c>
      <c r="I43" s="20">
        <f t="shared" ref="I43:T43" si="20">I29-I14</f>
        <v>0</v>
      </c>
      <c r="J43" s="20">
        <f t="shared" si="20"/>
        <v>0</v>
      </c>
      <c r="K43" s="20">
        <f t="shared" si="20"/>
        <v>0</v>
      </c>
      <c r="L43" s="20">
        <f t="shared" si="20"/>
        <v>0</v>
      </c>
      <c r="M43" s="20">
        <f t="shared" si="20"/>
        <v>0</v>
      </c>
      <c r="N43" s="20">
        <f t="shared" si="20"/>
        <v>0</v>
      </c>
      <c r="O43" s="20">
        <f t="shared" si="20"/>
        <v>0</v>
      </c>
      <c r="P43" s="20">
        <f t="shared" si="20"/>
        <v>0</v>
      </c>
      <c r="Q43" s="20">
        <f t="shared" si="20"/>
        <v>0</v>
      </c>
      <c r="R43" s="20">
        <f t="shared" si="20"/>
        <v>5.6599999999999706E-4</v>
      </c>
      <c r="S43" s="20">
        <f t="shared" si="20"/>
        <v>0</v>
      </c>
      <c r="T43" s="20">
        <f t="shared" si="20"/>
        <v>0</v>
      </c>
      <c r="V43" s="20">
        <f t="shared" ref="V43:AG43" si="21">V29-V14</f>
        <v>0</v>
      </c>
      <c r="W43" s="20">
        <f t="shared" si="21"/>
        <v>0</v>
      </c>
      <c r="X43" s="20">
        <f t="shared" si="21"/>
        <v>0</v>
      </c>
      <c r="Y43" s="20">
        <f t="shared" si="21"/>
        <v>0</v>
      </c>
      <c r="Z43" s="20">
        <f t="shared" si="21"/>
        <v>0</v>
      </c>
      <c r="AA43" s="20">
        <f t="shared" si="21"/>
        <v>0</v>
      </c>
      <c r="AB43" s="20">
        <f t="shared" si="21"/>
        <v>0</v>
      </c>
      <c r="AC43" s="20">
        <f t="shared" si="21"/>
        <v>0</v>
      </c>
      <c r="AD43" s="20">
        <f t="shared" si="21"/>
        <v>0</v>
      </c>
      <c r="AE43" s="20">
        <f t="shared" si="21"/>
        <v>0</v>
      </c>
      <c r="AF43" s="20">
        <f t="shared" si="21"/>
        <v>0</v>
      </c>
      <c r="AG43" s="20">
        <f t="shared" si="21"/>
        <v>0</v>
      </c>
    </row>
    <row r="44" spans="1:33" x14ac:dyDescent="0.25">
      <c r="B44">
        <v>0.77915299999999998</v>
      </c>
      <c r="C44">
        <v>1236.814697</v>
      </c>
      <c r="D44">
        <v>0.34464800000000001</v>
      </c>
      <c r="E44">
        <v>-3948.366943</v>
      </c>
      <c r="F44">
        <v>1.1282110000000001</v>
      </c>
      <c r="G44">
        <v>-12722.096680000001</v>
      </c>
      <c r="I44" s="20">
        <f t="shared" ref="I44:T44" si="22">I30-I15</f>
        <v>0</v>
      </c>
      <c r="J44" s="20">
        <f t="shared" si="22"/>
        <v>0</v>
      </c>
      <c r="K44" s="20">
        <f t="shared" si="22"/>
        <v>0</v>
      </c>
      <c r="L44" s="20">
        <f t="shared" si="22"/>
        <v>0</v>
      </c>
      <c r="M44" s="20">
        <f t="shared" si="22"/>
        <v>0</v>
      </c>
      <c r="N44" s="20">
        <f t="shared" si="22"/>
        <v>0</v>
      </c>
      <c r="O44" s="20">
        <f t="shared" si="22"/>
        <v>0</v>
      </c>
      <c r="P44" s="20">
        <f t="shared" si="22"/>
        <v>0</v>
      </c>
      <c r="Q44" s="20">
        <f t="shared" si="22"/>
        <v>0</v>
      </c>
      <c r="R44" s="20">
        <f t="shared" si="22"/>
        <v>0</v>
      </c>
      <c r="S44" s="20">
        <f t="shared" si="22"/>
        <v>-3.3000000000000043E-5</v>
      </c>
      <c r="T44" s="20">
        <f t="shared" si="22"/>
        <v>0</v>
      </c>
      <c r="V44" s="20">
        <f t="shared" ref="V44:AG44" si="23">V30-V15</f>
        <v>0</v>
      </c>
      <c r="W44" s="20">
        <f t="shared" si="23"/>
        <v>0</v>
      </c>
      <c r="X44" s="20">
        <f t="shared" si="23"/>
        <v>0</v>
      </c>
      <c r="Y44" s="20">
        <f t="shared" si="23"/>
        <v>0</v>
      </c>
      <c r="Z44" s="20">
        <f t="shared" si="23"/>
        <v>0</v>
      </c>
      <c r="AA44" s="20">
        <f t="shared" si="23"/>
        <v>0</v>
      </c>
      <c r="AB44" s="20">
        <f t="shared" si="23"/>
        <v>0</v>
      </c>
      <c r="AC44" s="20">
        <f t="shared" si="23"/>
        <v>0</v>
      </c>
      <c r="AD44" s="20">
        <f t="shared" si="23"/>
        <v>0</v>
      </c>
      <c r="AE44" s="20">
        <f t="shared" si="23"/>
        <v>0</v>
      </c>
      <c r="AF44" s="20">
        <f t="shared" si="23"/>
        <v>0</v>
      </c>
      <c r="AG44" s="20">
        <f t="shared" si="23"/>
        <v>0</v>
      </c>
    </row>
    <row r="47" spans="1:33" x14ac:dyDescent="0.25">
      <c r="A47" s="47" t="s">
        <v>64</v>
      </c>
      <c r="B47" s="47"/>
      <c r="C47" s="47"/>
      <c r="D47" s="47"/>
      <c r="E47" s="47"/>
      <c r="F47" s="47"/>
      <c r="G47" s="47"/>
    </row>
    <row r="48" spans="1:33" x14ac:dyDescent="0.25">
      <c r="B48" s="20">
        <v>5.8374517600790004</v>
      </c>
      <c r="C48" s="20">
        <v>-0.11337515393600001</v>
      </c>
      <c r="D48" s="20">
        <v>59.153305026901002</v>
      </c>
      <c r="E48" s="20">
        <v>-0.10421282354899999</v>
      </c>
      <c r="F48" s="20">
        <v>29.672893148951999</v>
      </c>
      <c r="G48" s="20">
        <v>-0.620868253067</v>
      </c>
    </row>
    <row r="49" spans="1:33" x14ac:dyDescent="0.25">
      <c r="B49" s="20">
        <v>-6.4526725711000002E-2</v>
      </c>
      <c r="C49" s="20">
        <v>-141.41239024752801</v>
      </c>
      <c r="D49" s="20">
        <v>-3.7751688307E-2</v>
      </c>
      <c r="E49" s="20">
        <v>412.46168220460902</v>
      </c>
      <c r="F49" s="20">
        <v>-0.18494226863300001</v>
      </c>
      <c r="G49" s="20">
        <v>943.08109204005598</v>
      </c>
    </row>
    <row r="50" spans="1:33" x14ac:dyDescent="0.25">
      <c r="B50" s="20">
        <v>-154.03810519113401</v>
      </c>
      <c r="C50" s="20">
        <v>-1.2894886176999999E-2</v>
      </c>
      <c r="D50" s="20">
        <v>-511.39095163624501</v>
      </c>
      <c r="E50" s="20">
        <v>-0.74522753527899999</v>
      </c>
      <c r="F50" s="20">
        <v>-2745.7253421362502</v>
      </c>
      <c r="G50" s="20">
        <v>-7.0615343691999996E-2</v>
      </c>
    </row>
    <row r="51" spans="1:33" x14ac:dyDescent="0.25">
      <c r="B51" s="20">
        <v>-0.51882754721699997</v>
      </c>
      <c r="C51" s="20">
        <v>-354.89624090251999</v>
      </c>
      <c r="D51" s="20">
        <v>1.775910105208</v>
      </c>
      <c r="E51" s="20">
        <v>-20686.1093965541</v>
      </c>
      <c r="F51" s="20">
        <v>5.5184128708789997</v>
      </c>
      <c r="G51" s="20">
        <v>8829.4986618982402</v>
      </c>
    </row>
    <row r="52" spans="1:33" x14ac:dyDescent="0.25">
      <c r="B52" s="20">
        <v>7.7198034230249997</v>
      </c>
      <c r="C52" s="20">
        <v>-1.2894886144000001E-2</v>
      </c>
      <c r="D52" s="20">
        <v>-200.936623227176</v>
      </c>
      <c r="E52" s="20">
        <v>-13.685850130878</v>
      </c>
      <c r="F52" s="20">
        <v>-51254.443507973003</v>
      </c>
      <c r="G52" s="20">
        <v>-7.0615343630999999E-2</v>
      </c>
    </row>
    <row r="53" spans="1:33" x14ac:dyDescent="0.25">
      <c r="B53" s="20">
        <v>0.77915325394099999</v>
      </c>
      <c r="C53" s="20">
        <v>1236.81468892524</v>
      </c>
      <c r="D53" s="20">
        <v>0.34464827148900001</v>
      </c>
      <c r="E53" s="20">
        <v>-3948.41421355373</v>
      </c>
      <c r="F53" s="20">
        <v>1.1282248156670001</v>
      </c>
      <c r="G53" s="20">
        <v>-12722.2484637248</v>
      </c>
    </row>
    <row r="55" spans="1:33" s="46" customFormat="1" x14ac:dyDescent="0.25"/>
    <row r="56" spans="1:33" x14ac:dyDescent="0.25">
      <c r="A56" s="48" t="s">
        <v>123</v>
      </c>
      <c r="B56" s="48"/>
      <c r="C56" s="48"/>
      <c r="D56" s="48"/>
      <c r="E56" s="48"/>
      <c r="F56" s="48"/>
      <c r="G56" s="48"/>
    </row>
    <row r="57" spans="1:33" x14ac:dyDescent="0.25">
      <c r="A57" t="s">
        <v>59</v>
      </c>
      <c r="H57" t="s">
        <v>60</v>
      </c>
      <c r="U57" t="s">
        <v>67</v>
      </c>
    </row>
    <row r="58" spans="1:33" x14ac:dyDescent="0.25"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I58" s="47" t="s">
        <v>69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V58" s="47" t="s">
        <v>69</v>
      </c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</row>
    <row r="59" spans="1:33" x14ac:dyDescent="0.25"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I59" s="20">
        <v>6.1511899999999997</v>
      </c>
      <c r="J59" s="20">
        <v>28.841446000000001</v>
      </c>
      <c r="K59" s="20">
        <v>9.4132809999999996</v>
      </c>
      <c r="L59" s="20">
        <v>-0.36321300000000001</v>
      </c>
      <c r="M59" s="20">
        <v>28.749801999999999</v>
      </c>
      <c r="N59" s="20">
        <v>-2.8182119999999999</v>
      </c>
      <c r="O59" s="20">
        <v>0</v>
      </c>
      <c r="P59" s="20">
        <v>0</v>
      </c>
      <c r="Q59" s="20">
        <v>0</v>
      </c>
      <c r="R59" s="20">
        <v>0</v>
      </c>
      <c r="S59" s="20">
        <v>-20965.798827999999</v>
      </c>
      <c r="T59">
        <v>0</v>
      </c>
      <c r="V59">
        <v>653.63952600000005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B60" t="s">
        <v>34</v>
      </c>
      <c r="C60" t="s">
        <v>35</v>
      </c>
      <c r="D60" t="s">
        <v>36</v>
      </c>
      <c r="E60" t="s">
        <v>37</v>
      </c>
      <c r="F60" t="s">
        <v>38</v>
      </c>
      <c r="G60" t="s">
        <v>39</v>
      </c>
      <c r="I60" s="20">
        <v>-28.629895999999999</v>
      </c>
      <c r="J60" s="20">
        <v>-32.430346999999998</v>
      </c>
      <c r="K60" s="20">
        <v>-3.808964</v>
      </c>
      <c r="L60" s="20">
        <v>253.26817299999999</v>
      </c>
      <c r="M60" s="20">
        <v>-31.307943000000002</v>
      </c>
      <c r="N60" s="20">
        <v>-414473.71875</v>
      </c>
      <c r="O60" s="20">
        <v>0</v>
      </c>
      <c r="P60" s="20">
        <v>0</v>
      </c>
      <c r="Q60" s="20">
        <v>0</v>
      </c>
      <c r="R60" s="20">
        <v>10482.899414</v>
      </c>
      <c r="S60" s="20">
        <v>-1037.5356449999999</v>
      </c>
      <c r="T60">
        <v>0</v>
      </c>
      <c r="V60">
        <v>0</v>
      </c>
      <c r="W60">
        <v>653.63952600000005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B61" t="s">
        <v>40</v>
      </c>
      <c r="C61" t="s">
        <v>43</v>
      </c>
      <c r="D61" t="s">
        <v>44</v>
      </c>
      <c r="E61" t="s">
        <v>45</v>
      </c>
      <c r="F61" t="s">
        <v>46</v>
      </c>
      <c r="G61" t="s">
        <v>47</v>
      </c>
      <c r="I61" s="20">
        <v>-108.145409</v>
      </c>
      <c r="J61" s="20">
        <v>1.4805919999999999</v>
      </c>
      <c r="K61" s="20">
        <v>-521.10809300000005</v>
      </c>
      <c r="L61" s="20">
        <v>2.3423250000000002</v>
      </c>
      <c r="M61" s="20">
        <v>411522.375</v>
      </c>
      <c r="N61" s="20">
        <v>25.168818999999999</v>
      </c>
      <c r="O61" s="20">
        <v>0</v>
      </c>
      <c r="P61" s="20">
        <v>0</v>
      </c>
      <c r="Q61" s="20">
        <v>0</v>
      </c>
      <c r="R61" s="20">
        <v>-18156.914062</v>
      </c>
      <c r="S61" s="20">
        <v>-599.02148399999999</v>
      </c>
      <c r="T61">
        <v>0</v>
      </c>
      <c r="V61">
        <v>0</v>
      </c>
      <c r="W61">
        <v>0</v>
      </c>
      <c r="X61">
        <v>653.93988000000002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B62" t="s">
        <v>41</v>
      </c>
      <c r="C62" t="s">
        <v>48</v>
      </c>
      <c r="D62" t="s">
        <v>49</v>
      </c>
      <c r="E62" t="s">
        <v>50</v>
      </c>
      <c r="F62" t="s">
        <v>51</v>
      </c>
      <c r="G62" t="s">
        <v>52</v>
      </c>
      <c r="I62" s="20">
        <v>-0.35291800000000001</v>
      </c>
      <c r="J62" s="20">
        <v>-125.276161</v>
      </c>
      <c r="K62" s="20">
        <v>2.3389139999999999</v>
      </c>
      <c r="L62" s="20">
        <v>-20871.199218999998</v>
      </c>
      <c r="M62" s="20">
        <v>-306.97470099999998</v>
      </c>
      <c r="N62" s="20">
        <v>5869.8623049999997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>
        <v>0</v>
      </c>
      <c r="V62">
        <v>0</v>
      </c>
      <c r="W62">
        <v>0</v>
      </c>
      <c r="X62">
        <v>0</v>
      </c>
      <c r="Y62">
        <v>9280</v>
      </c>
      <c r="Z62">
        <v>0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B63" t="s">
        <v>42</v>
      </c>
      <c r="C63" t="s">
        <v>53</v>
      </c>
      <c r="D63" t="s">
        <v>54</v>
      </c>
      <c r="E63" t="s">
        <v>55</v>
      </c>
      <c r="F63" t="s">
        <v>56</v>
      </c>
      <c r="G63" t="s">
        <v>57</v>
      </c>
      <c r="I63" s="20">
        <v>7.8467399999999996</v>
      </c>
      <c r="J63" s="20">
        <v>-27.618905999999999</v>
      </c>
      <c r="K63" s="20">
        <v>-286.09487899999999</v>
      </c>
      <c r="L63" s="20">
        <v>2501.6252439999998</v>
      </c>
      <c r="M63" s="20">
        <v>-51884.019530999998</v>
      </c>
      <c r="N63" s="20">
        <v>-63.098053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>
        <v>0</v>
      </c>
      <c r="V63">
        <v>0</v>
      </c>
      <c r="W63">
        <v>0</v>
      </c>
      <c r="X63">
        <v>3.944102</v>
      </c>
      <c r="Y63">
        <v>0</v>
      </c>
      <c r="Z63">
        <v>58127.078125</v>
      </c>
      <c r="AA63">
        <v>-157.756348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I64" s="20">
        <v>-0.24502599999999999</v>
      </c>
      <c r="J64" s="20">
        <v>-142.92569</v>
      </c>
      <c r="K64" s="20">
        <v>8.7937510000000003</v>
      </c>
      <c r="L64" s="20">
        <v>-6058.2294920000004</v>
      </c>
      <c r="M64" s="20">
        <v>869.22241199999996</v>
      </c>
      <c r="N64" s="20">
        <v>1048.9129640000001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>
        <v>0</v>
      </c>
      <c r="V64">
        <v>0</v>
      </c>
      <c r="W64">
        <v>0</v>
      </c>
      <c r="X64">
        <v>0</v>
      </c>
      <c r="Y64">
        <v>5</v>
      </c>
      <c r="Z64">
        <v>-157.756348</v>
      </c>
      <c r="AA64">
        <v>65766.414061999996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I65" s="20">
        <v>0.99837100000000001</v>
      </c>
      <c r="J65" s="20">
        <v>4.9405999999999999E-2</v>
      </c>
      <c r="K65" s="20">
        <v>2.8524999999999998E-2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-36.169486999999997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 s="47" t="s">
        <v>61</v>
      </c>
      <c r="B66" s="47"/>
      <c r="C66" s="47"/>
      <c r="D66" s="47"/>
      <c r="E66" s="47"/>
      <c r="F66" s="47"/>
      <c r="G66" s="47"/>
      <c r="I66" s="20">
        <v>0</v>
      </c>
      <c r="J66" s="20">
        <v>0.5</v>
      </c>
      <c r="K66" s="20">
        <v>-0.86602500000000004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>
        <v>632.96740699999998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 s="44"/>
      <c r="B67">
        <v>-3.6653496334946198</v>
      </c>
      <c r="C67">
        <v>0.20341373392559001</v>
      </c>
      <c r="D67">
        <v>59.217604158067701</v>
      </c>
      <c r="E67">
        <v>-4.2501829860774498E-2</v>
      </c>
      <c r="F67">
        <v>29.514440217023001</v>
      </c>
      <c r="G67">
        <v>-2.8499467403411498</v>
      </c>
      <c r="H67" s="44"/>
      <c r="I67" s="20">
        <v>-5.7049999999999997E-2</v>
      </c>
      <c r="J67" s="20">
        <v>0.86461500000000002</v>
      </c>
      <c r="K67" s="20">
        <v>0.49918600000000002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-632.96740699999998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</row>
    <row r="68" spans="1:33" x14ac:dyDescent="0.25">
      <c r="A68" s="44"/>
      <c r="B68">
        <v>6.7903163491970397E-2</v>
      </c>
      <c r="C68">
        <v>-29.916384078446999</v>
      </c>
      <c r="D68">
        <v>-0.48172752981570199</v>
      </c>
      <c r="E68">
        <v>234.59750075640699</v>
      </c>
      <c r="F68">
        <v>-28.305732523976499</v>
      </c>
      <c r="G68">
        <v>-33.632327679847101</v>
      </c>
      <c r="H68" s="44"/>
      <c r="I68" s="20">
        <v>0</v>
      </c>
      <c r="J68" s="20">
        <v>0</v>
      </c>
      <c r="K68" s="20">
        <v>0</v>
      </c>
      <c r="L68" s="20">
        <v>1</v>
      </c>
      <c r="M68" s="20">
        <v>4.9487000000000003E-2</v>
      </c>
      <c r="N68" s="20">
        <v>2.8570999999999999E-2</v>
      </c>
      <c r="O68" s="20">
        <v>0</v>
      </c>
      <c r="P68" s="20">
        <v>0</v>
      </c>
      <c r="Q68" s="20">
        <v>0</v>
      </c>
      <c r="R68" s="20">
        <v>0</v>
      </c>
      <c r="S68" s="20">
        <v>8.7914000000000006E-2</v>
      </c>
      <c r="T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</row>
    <row r="69" spans="1:33" x14ac:dyDescent="0.25">
      <c r="A69" s="44"/>
      <c r="B69">
        <v>-70.624723702191702</v>
      </c>
      <c r="C69">
        <v>-1.8207000204883499</v>
      </c>
      <c r="D69">
        <v>-534.17622704441101</v>
      </c>
      <c r="E69">
        <v>-4.8439664491079799E-3</v>
      </c>
      <c r="F69">
        <v>-2892.5307848134798</v>
      </c>
      <c r="G69">
        <v>25.397093275131802</v>
      </c>
      <c r="H69" s="44"/>
      <c r="I69" s="20">
        <v>0</v>
      </c>
      <c r="J69" s="20">
        <v>0</v>
      </c>
      <c r="K69" s="20">
        <v>0</v>
      </c>
      <c r="L69" s="20">
        <v>0</v>
      </c>
      <c r="M69" s="20">
        <v>0.5</v>
      </c>
      <c r="N69" s="20">
        <v>-0.86602500000000004</v>
      </c>
      <c r="O69" s="20">
        <v>0</v>
      </c>
      <c r="P69" s="20">
        <v>0</v>
      </c>
      <c r="Q69" s="20">
        <v>0</v>
      </c>
      <c r="R69" s="20">
        <v>-8.7627999999999998E-2</v>
      </c>
      <c r="S69" s="20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x14ac:dyDescent="0.25">
      <c r="A70" s="44"/>
      <c r="B70">
        <v>-0.46428083285149502</v>
      </c>
      <c r="C70">
        <v>-113.350723662178</v>
      </c>
      <c r="D70">
        <v>1.9402032992618901</v>
      </c>
      <c r="E70">
        <v>-19398.906618663801</v>
      </c>
      <c r="F70">
        <v>0</v>
      </c>
      <c r="G70">
        <v>2502.6319959449702</v>
      </c>
      <c r="H70" s="44"/>
      <c r="I70" s="20">
        <v>0</v>
      </c>
      <c r="J70" s="20">
        <v>0</v>
      </c>
      <c r="K70" s="20">
        <v>0</v>
      </c>
      <c r="L70" s="20">
        <v>0</v>
      </c>
      <c r="M70" s="20">
        <v>0.86743800000000004</v>
      </c>
      <c r="N70" s="20">
        <v>0.50081600000000004</v>
      </c>
      <c r="O70" s="20">
        <v>0</v>
      </c>
      <c r="P70" s="20">
        <v>0</v>
      </c>
      <c r="Q70" s="20">
        <v>0</v>
      </c>
      <c r="R70" s="20">
        <v>0</v>
      </c>
      <c r="S70" s="20">
        <v>5.0150000000000004E-3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</row>
    <row r="71" spans="1:33" x14ac:dyDescent="0.25">
      <c r="A71" s="44"/>
      <c r="B71">
        <v>40.425793944339098</v>
      </c>
      <c r="C71">
        <v>-25.342846471400399</v>
      </c>
      <c r="D71">
        <v>-304.38688944477002</v>
      </c>
      <c r="E71">
        <v>4.3287797909691603</v>
      </c>
      <c r="F71">
        <v>-47566.944898352303</v>
      </c>
      <c r="G71">
        <v>351.66528606383298</v>
      </c>
      <c r="H71" s="44"/>
    </row>
    <row r="72" spans="1:33" x14ac:dyDescent="0.25">
      <c r="A72" s="44"/>
      <c r="B72">
        <v>-1.0885475937925799</v>
      </c>
      <c r="C72">
        <v>-128.82656015277499</v>
      </c>
      <c r="D72">
        <v>7.8892322296919302</v>
      </c>
      <c r="E72">
        <v>-2228.7125575854998</v>
      </c>
      <c r="F72">
        <v>420.03225841293801</v>
      </c>
      <c r="G72">
        <v>702.05290371509102</v>
      </c>
      <c r="H72" s="44"/>
    </row>
    <row r="73" spans="1:33" x14ac:dyDescent="0.25">
      <c r="I73" s="47" t="s">
        <v>68</v>
      </c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V73" s="47" t="s">
        <v>68</v>
      </c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</row>
    <row r="74" spans="1:33" x14ac:dyDescent="0.25">
      <c r="I74" s="20">
        <v>6.1513119999999999</v>
      </c>
      <c r="J74" s="20">
        <v>28.656233</v>
      </c>
      <c r="K74" s="20">
        <v>9.7341219999999993</v>
      </c>
      <c r="L74" s="20">
        <v>-0.36321700000000001</v>
      </c>
      <c r="M74" s="20">
        <v>-46897.797187999997</v>
      </c>
      <c r="N74" s="20">
        <v>71.988932000000005</v>
      </c>
      <c r="O74" s="20">
        <v>0</v>
      </c>
      <c r="P74" s="20">
        <v>0</v>
      </c>
      <c r="Q74" s="20">
        <v>0</v>
      </c>
      <c r="R74" s="20">
        <v>0</v>
      </c>
      <c r="S74" s="20">
        <v>-20965.798174</v>
      </c>
      <c r="T74" s="20">
        <v>0</v>
      </c>
      <c r="V74">
        <v>653.63951199999997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 s="47" t="s">
        <v>58</v>
      </c>
      <c r="B75" s="47"/>
      <c r="C75" s="47"/>
      <c r="D75" s="47"/>
      <c r="E75" s="47"/>
      <c r="F75" s="47"/>
      <c r="G75" s="47"/>
      <c r="I75" s="20">
        <v>-28.444683000000001</v>
      </c>
      <c r="J75" s="20">
        <v>-32.430343000000001</v>
      </c>
      <c r="K75" s="20">
        <v>-3.7877960000000002</v>
      </c>
      <c r="L75" s="20">
        <v>47179.819358000001</v>
      </c>
      <c r="M75" s="20">
        <v>-31.308323999999999</v>
      </c>
      <c r="N75" s="20">
        <v>-411808.20323500002</v>
      </c>
      <c r="O75" s="20">
        <v>0</v>
      </c>
      <c r="P75" s="20">
        <v>0</v>
      </c>
      <c r="Q75" s="20">
        <v>0</v>
      </c>
      <c r="R75" s="20">
        <v>10482.899087</v>
      </c>
      <c r="S75" s="20">
        <v>-1037.5356340000001</v>
      </c>
      <c r="T75" s="20">
        <v>0</v>
      </c>
      <c r="V75">
        <v>0</v>
      </c>
      <c r="W75">
        <v>653.63951199999997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B76" s="20">
        <v>-3.6354295214389998</v>
      </c>
      <c r="C76" s="20">
        <v>0.203334514148</v>
      </c>
      <c r="D76" s="20">
        <v>58.984673936085997</v>
      </c>
      <c r="E76" s="20">
        <v>-4.6904907308000003E-2</v>
      </c>
      <c r="F76" s="20">
        <v>28.749927025622</v>
      </c>
      <c r="G76" s="20">
        <v>-2.8418020875729999</v>
      </c>
      <c r="I76" s="20">
        <v>-108.466195</v>
      </c>
      <c r="J76" s="20">
        <v>1.459425</v>
      </c>
      <c r="K76" s="20">
        <v>-521.10808599999996</v>
      </c>
      <c r="L76" s="20">
        <v>-72.464825000000005</v>
      </c>
      <c r="M76" s="20">
        <v>408856.82049000001</v>
      </c>
      <c r="N76" s="20">
        <v>25.169121000000001</v>
      </c>
      <c r="O76" s="20">
        <v>0</v>
      </c>
      <c r="P76" s="20">
        <v>0</v>
      </c>
      <c r="Q76" s="20">
        <v>0</v>
      </c>
      <c r="R76" s="20">
        <v>-18156.913829000001</v>
      </c>
      <c r="S76" s="20">
        <v>-599.021478</v>
      </c>
      <c r="T76" s="20">
        <v>0</v>
      </c>
      <c r="V76">
        <v>0</v>
      </c>
      <c r="W76">
        <v>0</v>
      </c>
      <c r="X76">
        <v>653.93990099999996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B77" s="20">
        <v>6.0702364766000001E-2</v>
      </c>
      <c r="C77" s="20">
        <v>-32.430342470889002</v>
      </c>
      <c r="D77" s="20">
        <v>-0.53253188574599997</v>
      </c>
      <c r="E77" s="20">
        <v>259.14767964586099</v>
      </c>
      <c r="F77" s="20">
        <v>-31.262224636797001</v>
      </c>
      <c r="G77" s="20">
        <v>-37.151887043903002</v>
      </c>
      <c r="I77" s="20">
        <v>-0.35291800000000001</v>
      </c>
      <c r="J77" s="20">
        <v>-125.276163</v>
      </c>
      <c r="K77" s="20">
        <v>2.3389139999999999</v>
      </c>
      <c r="L77" s="20">
        <v>-20871.450573999999</v>
      </c>
      <c r="M77" s="20">
        <v>-304.96500400000002</v>
      </c>
      <c r="N77" s="20">
        <v>5873.7795290000004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V77">
        <v>0</v>
      </c>
      <c r="W77">
        <v>0</v>
      </c>
      <c r="X77">
        <v>0</v>
      </c>
      <c r="Y77">
        <v>9280</v>
      </c>
      <c r="Z77">
        <v>0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B78" s="20">
        <v>-71.150222403306003</v>
      </c>
      <c r="C78" s="20">
        <v>-1.8160385199910001</v>
      </c>
      <c r="D78" s="20">
        <v>-532.59063848559197</v>
      </c>
      <c r="E78" s="20">
        <v>-5.3457885970000004E-3</v>
      </c>
      <c r="F78" s="20">
        <v>-2885.0889572224701</v>
      </c>
      <c r="G78" s="20">
        <v>25.331147829477</v>
      </c>
      <c r="I78" s="20">
        <v>7.8467529999999996</v>
      </c>
      <c r="J78" s="20">
        <v>-27.618907</v>
      </c>
      <c r="K78" s="20">
        <v>-286.094854</v>
      </c>
      <c r="L78" s="20">
        <v>2485.697752</v>
      </c>
      <c r="M78" s="20">
        <v>-51884.652353999998</v>
      </c>
      <c r="N78" s="20">
        <v>-61.261372999999999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V78">
        <v>0</v>
      </c>
      <c r="W78">
        <v>0</v>
      </c>
      <c r="X78">
        <v>3.944102</v>
      </c>
      <c r="Y78">
        <v>0</v>
      </c>
      <c r="Z78">
        <v>58127.078930000003</v>
      </c>
      <c r="AA78">
        <v>-157.75634099999999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B79" s="20">
        <v>-0.188111101797</v>
      </c>
      <c r="C79" s="20">
        <v>-125.276146967984</v>
      </c>
      <c r="D79" s="20">
        <v>2.332615973937</v>
      </c>
      <c r="E79" s="20">
        <v>-21468.480985191502</v>
      </c>
      <c r="F79" s="20">
        <v>0</v>
      </c>
      <c r="G79" s="20">
        <v>4058.4856606251601</v>
      </c>
      <c r="I79" s="20">
        <v>-0.24502599999999999</v>
      </c>
      <c r="J79" s="20">
        <v>-142.92569800000001</v>
      </c>
      <c r="K79" s="20">
        <v>8.7937510000000003</v>
      </c>
      <c r="L79" s="20">
        <v>-6034.3294530000003</v>
      </c>
      <c r="M79" s="20">
        <v>867.64479500000004</v>
      </c>
      <c r="N79" s="20">
        <v>1048.9284050000001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V79">
        <v>0</v>
      </c>
      <c r="W79">
        <v>0</v>
      </c>
      <c r="X79">
        <v>0</v>
      </c>
      <c r="Y79">
        <v>5</v>
      </c>
      <c r="Z79">
        <v>-157.75634099999999</v>
      </c>
      <c r="AA79">
        <v>65766.412718000007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B80" s="20">
        <v>32.456747285848998</v>
      </c>
      <c r="C80" s="20">
        <v>-27.618895763804002</v>
      </c>
      <c r="D80" s="20">
        <v>-284.24782487589101</v>
      </c>
      <c r="E80" s="20">
        <v>4.7478517728350003</v>
      </c>
      <c r="F80" s="20">
        <v>-51884.801002516702</v>
      </c>
      <c r="G80" s="20">
        <v>383.18805123670001</v>
      </c>
      <c r="I80" s="20">
        <v>0.99837100000000001</v>
      </c>
      <c r="J80" s="20">
        <v>4.9405999999999999E-2</v>
      </c>
      <c r="K80" s="20">
        <v>2.8524999999999998E-2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-3.5437590000000001</v>
      </c>
      <c r="S80" s="20">
        <v>0</v>
      </c>
      <c r="T80" s="20">
        <v>62.117082000000003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B81" s="20">
        <v>-1.0909266834369999</v>
      </c>
      <c r="C81" s="20">
        <v>-142.925712585344</v>
      </c>
      <c r="D81" s="20">
        <v>8.7263458640350002</v>
      </c>
      <c r="E81" s="20">
        <v>-2461.95548311831</v>
      </c>
      <c r="F81" s="20">
        <v>463.98462202342103</v>
      </c>
      <c r="G81" s="20">
        <v>775.52556104508301</v>
      </c>
      <c r="I81" s="20">
        <v>0</v>
      </c>
      <c r="J81" s="20">
        <v>0.5</v>
      </c>
      <c r="K81" s="20">
        <v>-0.86602500000000004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-35.995466</v>
      </c>
      <c r="S81" s="20">
        <v>0</v>
      </c>
      <c r="T81" s="20">
        <v>630.949656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I82" s="20">
        <v>-5.7049999999999997E-2</v>
      </c>
      <c r="J82" s="20">
        <v>0.86461500000000002</v>
      </c>
      <c r="K82" s="20">
        <v>0.49918600000000002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-62.015915</v>
      </c>
      <c r="S82" s="20">
        <v>-630.949656</v>
      </c>
      <c r="T82" s="20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</row>
    <row r="83" spans="1:33" x14ac:dyDescent="0.25">
      <c r="I83" s="20">
        <v>0</v>
      </c>
      <c r="J83" s="20">
        <v>0</v>
      </c>
      <c r="K83" s="20">
        <v>0</v>
      </c>
      <c r="L83" s="20">
        <v>1</v>
      </c>
      <c r="M83" s="20">
        <v>4.9487000000000003E-2</v>
      </c>
      <c r="N83" s="20">
        <v>2.8570999999999999E-2</v>
      </c>
      <c r="O83" s="20">
        <v>0</v>
      </c>
      <c r="P83" s="20">
        <v>0</v>
      </c>
      <c r="Q83" s="20">
        <v>0</v>
      </c>
      <c r="R83" s="20">
        <v>0</v>
      </c>
      <c r="S83" s="20">
        <v>8.7345999999999993E-2</v>
      </c>
      <c r="T83" s="20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</row>
    <row r="84" spans="1:33" x14ac:dyDescent="0.25">
      <c r="A84" s="47" t="s">
        <v>62</v>
      </c>
      <c r="B84" s="47"/>
      <c r="C84" s="47"/>
      <c r="D84" s="47"/>
      <c r="E84" s="47"/>
      <c r="F84" s="47"/>
      <c r="G84" s="47"/>
      <c r="I84" s="20">
        <v>0</v>
      </c>
      <c r="J84" s="20">
        <v>0</v>
      </c>
      <c r="K84" s="20">
        <v>0</v>
      </c>
      <c r="L84" s="20">
        <v>0</v>
      </c>
      <c r="M84" s="20">
        <v>0.5</v>
      </c>
      <c r="N84" s="20">
        <v>-0.86602500000000004</v>
      </c>
      <c r="O84" s="20">
        <v>0</v>
      </c>
      <c r="P84" s="20">
        <v>0</v>
      </c>
      <c r="Q84" s="20">
        <v>0</v>
      </c>
      <c r="R84" s="20">
        <v>-8.7062E-2</v>
      </c>
      <c r="S84" s="20">
        <v>0</v>
      </c>
      <c r="T84" s="20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</row>
    <row r="85" spans="1:33" x14ac:dyDescent="0.25">
      <c r="B85" s="20">
        <v>-0.57123408095200001</v>
      </c>
      <c r="C85" s="20">
        <v>0.20389123773100001</v>
      </c>
      <c r="D85" s="20">
        <v>59.333902047155</v>
      </c>
      <c r="E85" s="20">
        <v>-4.6904907308000003E-2</v>
      </c>
      <c r="F85" s="20">
        <v>28.749927025622</v>
      </c>
      <c r="G85" s="20">
        <v>-2.8418020875729999</v>
      </c>
      <c r="I85" s="20">
        <v>0</v>
      </c>
      <c r="J85" s="20">
        <v>0</v>
      </c>
      <c r="K85" s="20">
        <v>0</v>
      </c>
      <c r="L85" s="20">
        <v>0</v>
      </c>
      <c r="M85" s="20">
        <v>0.86743800000000004</v>
      </c>
      <c r="N85" s="20">
        <v>0.50081600000000004</v>
      </c>
      <c r="O85" s="20">
        <v>0</v>
      </c>
      <c r="P85" s="20">
        <v>0</v>
      </c>
      <c r="Q85" s="20">
        <v>0</v>
      </c>
      <c r="R85" s="20">
        <v>0</v>
      </c>
      <c r="S85" s="20">
        <v>4.9829999999999996E-3</v>
      </c>
      <c r="T85" s="20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 x14ac:dyDescent="0.25">
      <c r="B86" s="20">
        <v>7.5222256050000005E-2</v>
      </c>
      <c r="C86" s="20">
        <v>-32.430340888700002</v>
      </c>
      <c r="D86" s="20">
        <v>-0.53087704253199997</v>
      </c>
      <c r="E86" s="20">
        <v>259.14767964586099</v>
      </c>
      <c r="F86" s="20">
        <v>-31.262224636797001</v>
      </c>
      <c r="G86" s="20">
        <v>-37.151887043903002</v>
      </c>
    </row>
    <row r="87" spans="1:33" x14ac:dyDescent="0.25">
      <c r="B87" s="20">
        <v>-97.724958729357994</v>
      </c>
      <c r="C87" s="20">
        <v>-1.8208667990959999</v>
      </c>
      <c r="D87" s="20">
        <v>-535.61938042686404</v>
      </c>
      <c r="E87" s="20">
        <v>-5.3457885970000004E-3</v>
      </c>
      <c r="F87" s="20">
        <v>-2885.0889572224701</v>
      </c>
      <c r="G87" s="20">
        <v>25.331147829477</v>
      </c>
      <c r="I87" s="47" t="s">
        <v>70</v>
      </c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</row>
    <row r="88" spans="1:33" x14ac:dyDescent="0.25">
      <c r="B88" s="20">
        <v>-0.59303239374000005</v>
      </c>
      <c r="C88" s="20">
        <v>-125.276224611751</v>
      </c>
      <c r="D88" s="20">
        <v>2.2864667808479999</v>
      </c>
      <c r="E88" s="20">
        <v>-21468.480985191502</v>
      </c>
      <c r="F88" s="20">
        <v>0</v>
      </c>
      <c r="G88" s="20">
        <v>4058.4856606251601</v>
      </c>
      <c r="I88" s="20">
        <f>I74-I59</f>
        <v>1.2200000000017752E-4</v>
      </c>
      <c r="J88" s="20">
        <f t="shared" ref="J88:T88" si="24">J74-J59</f>
        <v>-0.18521300000000096</v>
      </c>
      <c r="K88" s="20">
        <f t="shared" si="24"/>
        <v>0.32084099999999971</v>
      </c>
      <c r="L88" s="26">
        <f t="shared" si="24"/>
        <v>-4.0000000000040004E-6</v>
      </c>
      <c r="M88" s="26">
        <f t="shared" si="24"/>
        <v>-46926.546989999995</v>
      </c>
      <c r="N88" s="26">
        <f t="shared" si="24"/>
        <v>74.807144000000008</v>
      </c>
      <c r="O88" s="20">
        <f t="shared" si="24"/>
        <v>0</v>
      </c>
      <c r="P88" s="20">
        <f t="shared" si="24"/>
        <v>0</v>
      </c>
      <c r="Q88" s="20">
        <f t="shared" si="24"/>
        <v>0</v>
      </c>
      <c r="R88" s="20">
        <f t="shared" si="24"/>
        <v>0</v>
      </c>
      <c r="S88" s="20">
        <f t="shared" si="24"/>
        <v>6.5399999948567711E-4</v>
      </c>
      <c r="T88" s="20">
        <f t="shared" si="24"/>
        <v>0</v>
      </c>
      <c r="V88" s="20">
        <f>V74-V59</f>
        <v>-1.4000000078340236E-5</v>
      </c>
      <c r="W88" s="20">
        <f t="shared" ref="W88:AG88" si="25">W74-W59</f>
        <v>0</v>
      </c>
      <c r="X88" s="20">
        <f t="shared" si="25"/>
        <v>0</v>
      </c>
      <c r="Y88" s="20">
        <f t="shared" si="25"/>
        <v>0</v>
      </c>
      <c r="Z88" s="20">
        <f t="shared" si="25"/>
        <v>0</v>
      </c>
      <c r="AA88" s="20">
        <f t="shared" si="25"/>
        <v>0</v>
      </c>
      <c r="AB88" s="20">
        <f t="shared" si="25"/>
        <v>0</v>
      </c>
      <c r="AC88" s="20">
        <f t="shared" si="25"/>
        <v>0</v>
      </c>
      <c r="AD88" s="20">
        <f t="shared" si="25"/>
        <v>0</v>
      </c>
      <c r="AE88" s="20">
        <f t="shared" si="25"/>
        <v>0</v>
      </c>
      <c r="AF88" s="20">
        <f t="shared" si="25"/>
        <v>0</v>
      </c>
      <c r="AG88" s="20">
        <f t="shared" si="25"/>
        <v>0</v>
      </c>
    </row>
    <row r="89" spans="1:33" x14ac:dyDescent="0.25">
      <c r="B89" s="20">
        <v>40.197960735430001</v>
      </c>
      <c r="C89" s="20">
        <v>-27.617490203079001</v>
      </c>
      <c r="D89" s="20">
        <v>-283.36555801290899</v>
      </c>
      <c r="E89" s="20">
        <v>4.7478517728350003</v>
      </c>
      <c r="F89" s="20">
        <v>-51884.801002516702</v>
      </c>
      <c r="G89" s="20">
        <v>383.18805123670001</v>
      </c>
      <c r="I89" s="20">
        <f t="shared" ref="I89:T99" si="26">I75-I60</f>
        <v>0.18521299999999741</v>
      </c>
      <c r="J89" s="20">
        <f t="shared" si="26"/>
        <v>3.9999999970063982E-6</v>
      </c>
      <c r="K89" s="20">
        <f t="shared" si="26"/>
        <v>2.1167999999999854E-2</v>
      </c>
      <c r="L89" s="26">
        <f t="shared" si="26"/>
        <v>46926.551185000004</v>
      </c>
      <c r="M89" s="26">
        <f t="shared" si="26"/>
        <v>-3.8099999999730016E-4</v>
      </c>
      <c r="N89" s="26">
        <f t="shared" si="26"/>
        <v>2665.5155149999773</v>
      </c>
      <c r="O89" s="20">
        <f t="shared" si="26"/>
        <v>0</v>
      </c>
      <c r="P89" s="20">
        <f t="shared" si="26"/>
        <v>0</v>
      </c>
      <c r="Q89" s="20">
        <f t="shared" si="26"/>
        <v>0</v>
      </c>
      <c r="R89" s="20">
        <f t="shared" si="26"/>
        <v>-3.2699999974283855E-4</v>
      </c>
      <c r="S89" s="20">
        <f t="shared" si="26"/>
        <v>1.0999999858540832E-5</v>
      </c>
      <c r="T89" s="20">
        <f t="shared" si="26"/>
        <v>0</v>
      </c>
      <c r="V89" s="20">
        <f t="shared" ref="V89:AG89" si="27">V75-V60</f>
        <v>0</v>
      </c>
      <c r="W89" s="20">
        <f t="shared" si="27"/>
        <v>-1.4000000078340236E-5</v>
      </c>
      <c r="X89" s="20">
        <f t="shared" si="27"/>
        <v>0</v>
      </c>
      <c r="Y89" s="20">
        <f t="shared" si="27"/>
        <v>0</v>
      </c>
      <c r="Z89" s="20">
        <f t="shared" si="27"/>
        <v>0</v>
      </c>
      <c r="AA89" s="20">
        <f t="shared" si="27"/>
        <v>0</v>
      </c>
      <c r="AB89" s="20">
        <f t="shared" si="27"/>
        <v>0</v>
      </c>
      <c r="AC89" s="20">
        <f t="shared" si="27"/>
        <v>0</v>
      </c>
      <c r="AD89" s="20">
        <f t="shared" si="27"/>
        <v>0</v>
      </c>
      <c r="AE89" s="20">
        <f t="shared" si="27"/>
        <v>0</v>
      </c>
      <c r="AF89" s="20">
        <f t="shared" si="27"/>
        <v>0</v>
      </c>
      <c r="AG89" s="20">
        <f t="shared" si="27"/>
        <v>0</v>
      </c>
    </row>
    <row r="90" spans="1:33" x14ac:dyDescent="0.25">
      <c r="B90" s="20">
        <v>-1.213599528869</v>
      </c>
      <c r="C90" s="20">
        <v>-142.925739522382</v>
      </c>
      <c r="D90" s="20">
        <v>8.7123647448929997</v>
      </c>
      <c r="E90" s="20">
        <v>-2461.95548311831</v>
      </c>
      <c r="F90" s="20">
        <v>463.98462202342103</v>
      </c>
      <c r="G90" s="20">
        <v>775.52556104508301</v>
      </c>
      <c r="I90" s="20">
        <f t="shared" si="26"/>
        <v>-0.32078599999999824</v>
      </c>
      <c r="J90" s="20">
        <f t="shared" si="26"/>
        <v>-2.1166999999999936E-2</v>
      </c>
      <c r="K90" s="20">
        <f t="shared" si="26"/>
        <v>7.0000000960135367E-6</v>
      </c>
      <c r="L90" s="26">
        <f t="shared" si="26"/>
        <v>-74.807150000000007</v>
      </c>
      <c r="M90" s="26">
        <f t="shared" si="26"/>
        <v>-2665.5545099999872</v>
      </c>
      <c r="N90" s="26">
        <f t="shared" si="26"/>
        <v>3.0200000000135674E-4</v>
      </c>
      <c r="O90" s="20">
        <f t="shared" si="26"/>
        <v>0</v>
      </c>
      <c r="P90" s="20">
        <f t="shared" si="26"/>
        <v>0</v>
      </c>
      <c r="Q90" s="20">
        <f t="shared" si="26"/>
        <v>0</v>
      </c>
      <c r="R90" s="20">
        <f t="shared" si="26"/>
        <v>2.3299999884329736E-4</v>
      </c>
      <c r="S90" s="20">
        <f t="shared" si="26"/>
        <v>5.9999999848514562E-6</v>
      </c>
      <c r="T90" s="20">
        <f t="shared" si="26"/>
        <v>0</v>
      </c>
      <c r="V90" s="20">
        <f t="shared" ref="V90:AG90" si="28">V76-V61</f>
        <v>0</v>
      </c>
      <c r="W90" s="20">
        <f t="shared" si="28"/>
        <v>0</v>
      </c>
      <c r="X90" s="20">
        <f t="shared" si="28"/>
        <v>2.0999999946980097E-5</v>
      </c>
      <c r="Y90" s="20">
        <f t="shared" si="28"/>
        <v>0</v>
      </c>
      <c r="Z90" s="20">
        <f t="shared" si="28"/>
        <v>0</v>
      </c>
      <c r="AA90" s="20">
        <f t="shared" si="28"/>
        <v>0</v>
      </c>
      <c r="AB90" s="20">
        <f t="shared" si="28"/>
        <v>0</v>
      </c>
      <c r="AC90" s="20">
        <f t="shared" si="28"/>
        <v>0</v>
      </c>
      <c r="AD90" s="20">
        <f t="shared" si="28"/>
        <v>0</v>
      </c>
      <c r="AE90" s="20">
        <f t="shared" si="28"/>
        <v>0</v>
      </c>
      <c r="AF90" s="20">
        <f t="shared" si="28"/>
        <v>0</v>
      </c>
      <c r="AG90" s="20">
        <f t="shared" si="28"/>
        <v>0</v>
      </c>
    </row>
    <row r="91" spans="1:33" x14ac:dyDescent="0.25">
      <c r="I91" s="20">
        <f t="shared" si="26"/>
        <v>0</v>
      </c>
      <c r="J91" s="20">
        <f t="shared" si="26"/>
        <v>-1.9999999949504854E-6</v>
      </c>
      <c r="K91" s="20">
        <f t="shared" si="26"/>
        <v>0</v>
      </c>
      <c r="L91" s="20">
        <f t="shared" si="26"/>
        <v>-0.25135500000033062</v>
      </c>
      <c r="M91" s="20">
        <f t="shared" si="26"/>
        <v>2.0096969999999601</v>
      </c>
      <c r="N91" s="20">
        <f t="shared" si="26"/>
        <v>3.917224000000715</v>
      </c>
      <c r="O91" s="20">
        <f t="shared" si="26"/>
        <v>0</v>
      </c>
      <c r="P91" s="20">
        <f t="shared" si="26"/>
        <v>0</v>
      </c>
      <c r="Q91" s="20">
        <f t="shared" si="26"/>
        <v>0</v>
      </c>
      <c r="R91" s="20">
        <f t="shared" si="26"/>
        <v>0</v>
      </c>
      <c r="S91" s="20">
        <f t="shared" si="26"/>
        <v>0</v>
      </c>
      <c r="T91" s="20">
        <f t="shared" si="26"/>
        <v>0</v>
      </c>
      <c r="V91" s="20">
        <f t="shared" ref="V91:AG91" si="29">V77-V62</f>
        <v>0</v>
      </c>
      <c r="W91" s="20">
        <f t="shared" si="29"/>
        <v>0</v>
      </c>
      <c r="X91" s="20">
        <f t="shared" si="29"/>
        <v>0</v>
      </c>
      <c r="Y91" s="20">
        <f t="shared" si="29"/>
        <v>0</v>
      </c>
      <c r="Z91" s="20">
        <f t="shared" si="29"/>
        <v>0</v>
      </c>
      <c r="AA91" s="20">
        <f t="shared" si="29"/>
        <v>0</v>
      </c>
      <c r="AB91" s="20">
        <f t="shared" si="29"/>
        <v>0</v>
      </c>
      <c r="AC91" s="20">
        <f t="shared" si="29"/>
        <v>0</v>
      </c>
      <c r="AD91" s="20">
        <f t="shared" si="29"/>
        <v>0</v>
      </c>
      <c r="AE91" s="20">
        <f t="shared" si="29"/>
        <v>0</v>
      </c>
      <c r="AF91" s="20">
        <f t="shared" si="29"/>
        <v>0</v>
      </c>
      <c r="AG91" s="20">
        <f t="shared" si="29"/>
        <v>0</v>
      </c>
    </row>
    <row r="92" spans="1:33" x14ac:dyDescent="0.25">
      <c r="I92" s="20">
        <f t="shared" si="26"/>
        <v>1.3000000000040757E-5</v>
      </c>
      <c r="J92" s="20">
        <f t="shared" si="26"/>
        <v>-1.0000000010279564E-6</v>
      </c>
      <c r="K92" s="20">
        <f t="shared" si="26"/>
        <v>2.4999999993724487E-5</v>
      </c>
      <c r="L92" s="20">
        <f t="shared" si="26"/>
        <v>-15.927491999999802</v>
      </c>
      <c r="M92" s="20">
        <f t="shared" si="26"/>
        <v>-0.63282299999991665</v>
      </c>
      <c r="N92" s="20">
        <f t="shared" si="26"/>
        <v>1.8366800000000012</v>
      </c>
      <c r="O92" s="20">
        <f t="shared" si="26"/>
        <v>0</v>
      </c>
      <c r="P92" s="20">
        <f t="shared" si="26"/>
        <v>0</v>
      </c>
      <c r="Q92" s="20">
        <f t="shared" si="26"/>
        <v>0</v>
      </c>
      <c r="R92" s="20">
        <f t="shared" si="26"/>
        <v>0</v>
      </c>
      <c r="S92" s="20">
        <f t="shared" si="26"/>
        <v>0</v>
      </c>
      <c r="T92" s="20">
        <f t="shared" si="26"/>
        <v>0</v>
      </c>
      <c r="V92" s="20">
        <f t="shared" ref="V92:AG92" si="30">V78-V63</f>
        <v>0</v>
      </c>
      <c r="W92" s="20">
        <f t="shared" si="30"/>
        <v>0</v>
      </c>
      <c r="X92" s="20">
        <f t="shared" si="30"/>
        <v>0</v>
      </c>
      <c r="Y92" s="20">
        <f t="shared" si="30"/>
        <v>0</v>
      </c>
      <c r="Z92" s="20">
        <f t="shared" si="30"/>
        <v>8.0500000331085175E-4</v>
      </c>
      <c r="AA92" s="20">
        <f t="shared" si="30"/>
        <v>7.0000000107484084E-6</v>
      </c>
      <c r="AB92" s="20">
        <f t="shared" si="30"/>
        <v>0</v>
      </c>
      <c r="AC92" s="20">
        <f t="shared" si="30"/>
        <v>0</v>
      </c>
      <c r="AD92" s="20">
        <f t="shared" si="30"/>
        <v>0</v>
      </c>
      <c r="AE92" s="20">
        <f t="shared" si="30"/>
        <v>0</v>
      </c>
      <c r="AF92" s="20">
        <f t="shared" si="30"/>
        <v>0</v>
      </c>
      <c r="AG92" s="20">
        <f t="shared" si="30"/>
        <v>0</v>
      </c>
    </row>
    <row r="93" spans="1:33" x14ac:dyDescent="0.25">
      <c r="A93" s="47" t="s">
        <v>63</v>
      </c>
      <c r="B93" s="47"/>
      <c r="C93" s="47"/>
      <c r="D93" s="47"/>
      <c r="E93" s="47"/>
      <c r="F93" s="47"/>
      <c r="G93" s="47"/>
      <c r="I93" s="20">
        <f t="shared" si="26"/>
        <v>0</v>
      </c>
      <c r="J93" s="20">
        <f t="shared" si="26"/>
        <v>-8.0000000082236511E-6</v>
      </c>
      <c r="K93" s="20">
        <f t="shared" si="26"/>
        <v>0</v>
      </c>
      <c r="L93" s="20">
        <f t="shared" si="26"/>
        <v>23.900039000000106</v>
      </c>
      <c r="M93" s="20">
        <f t="shared" si="26"/>
        <v>-1.5776169999999183</v>
      </c>
      <c r="N93" s="20">
        <f t="shared" si="26"/>
        <v>1.5441000000009808E-2</v>
      </c>
      <c r="O93" s="20">
        <f t="shared" si="26"/>
        <v>0</v>
      </c>
      <c r="P93" s="20">
        <f t="shared" si="26"/>
        <v>0</v>
      </c>
      <c r="Q93" s="20">
        <f t="shared" si="26"/>
        <v>0</v>
      </c>
      <c r="R93" s="20">
        <f t="shared" si="26"/>
        <v>0</v>
      </c>
      <c r="S93" s="20">
        <f t="shared" si="26"/>
        <v>0</v>
      </c>
      <c r="T93" s="20">
        <f t="shared" si="26"/>
        <v>0</v>
      </c>
      <c r="V93" s="20">
        <f t="shared" ref="V93:AG93" si="31">V79-V64</f>
        <v>0</v>
      </c>
      <c r="W93" s="20">
        <f t="shared" si="31"/>
        <v>0</v>
      </c>
      <c r="X93" s="20">
        <f t="shared" si="31"/>
        <v>0</v>
      </c>
      <c r="Y93" s="20">
        <f t="shared" si="31"/>
        <v>0</v>
      </c>
      <c r="Z93" s="20">
        <f t="shared" si="31"/>
        <v>7.0000000107484084E-6</v>
      </c>
      <c r="AA93" s="20">
        <f t="shared" si="31"/>
        <v>-1.3439999893307686E-3</v>
      </c>
      <c r="AB93" s="20">
        <f t="shared" si="31"/>
        <v>0</v>
      </c>
      <c r="AC93" s="20">
        <f t="shared" si="31"/>
        <v>0</v>
      </c>
      <c r="AD93" s="20">
        <f t="shared" si="31"/>
        <v>0</v>
      </c>
      <c r="AE93" s="20">
        <f t="shared" si="31"/>
        <v>0</v>
      </c>
      <c r="AF93" s="20">
        <f t="shared" si="31"/>
        <v>0</v>
      </c>
      <c r="AG93" s="20">
        <f t="shared" si="31"/>
        <v>0</v>
      </c>
    </row>
    <row r="94" spans="1:33" x14ac:dyDescent="0.25">
      <c r="B94" s="20">
        <v>6.1511899999999997</v>
      </c>
      <c r="C94" s="20">
        <v>0.20278099999999999</v>
      </c>
      <c r="D94" s="20">
        <v>59.016907000000003</v>
      </c>
      <c r="E94">
        <v>-0.36321300000000001</v>
      </c>
      <c r="F94">
        <v>28.749801999999999</v>
      </c>
      <c r="G94">
        <v>-2.8182119999999999</v>
      </c>
      <c r="I94" s="20">
        <f t="shared" si="26"/>
        <v>0</v>
      </c>
      <c r="J94" s="20">
        <f t="shared" si="26"/>
        <v>0</v>
      </c>
      <c r="K94" s="20">
        <f t="shared" si="26"/>
        <v>0</v>
      </c>
      <c r="L94" s="20">
        <f t="shared" si="26"/>
        <v>0</v>
      </c>
      <c r="M94" s="20">
        <f t="shared" si="26"/>
        <v>0</v>
      </c>
      <c r="N94" s="20">
        <f t="shared" si="26"/>
        <v>0</v>
      </c>
      <c r="O94" s="20">
        <f t="shared" si="26"/>
        <v>0</v>
      </c>
      <c r="P94" s="20">
        <f t="shared" si="26"/>
        <v>0</v>
      </c>
      <c r="Q94" s="20">
        <f t="shared" si="26"/>
        <v>0</v>
      </c>
      <c r="R94" s="20">
        <f t="shared" si="26"/>
        <v>-3.5437590000000001</v>
      </c>
      <c r="S94" s="20">
        <f t="shared" si="26"/>
        <v>36.169486999999997</v>
      </c>
      <c r="T94" s="20">
        <f t="shared" si="26"/>
        <v>62.117082000000003</v>
      </c>
      <c r="V94" s="20">
        <f t="shared" ref="V94:AG94" si="32">V80-V65</f>
        <v>0</v>
      </c>
      <c r="W94" s="20">
        <f t="shared" si="32"/>
        <v>0</v>
      </c>
      <c r="X94" s="20">
        <f t="shared" si="32"/>
        <v>0</v>
      </c>
      <c r="Y94" s="20">
        <f t="shared" si="32"/>
        <v>0</v>
      </c>
      <c r="Z94" s="20">
        <f t="shared" si="32"/>
        <v>0</v>
      </c>
      <c r="AA94" s="20">
        <f t="shared" si="32"/>
        <v>0</v>
      </c>
      <c r="AB94" s="20">
        <f t="shared" si="32"/>
        <v>0</v>
      </c>
      <c r="AC94" s="20">
        <f t="shared" si="32"/>
        <v>0</v>
      </c>
      <c r="AD94" s="20">
        <f t="shared" si="32"/>
        <v>0</v>
      </c>
      <c r="AE94" s="20">
        <f t="shared" si="32"/>
        <v>0</v>
      </c>
      <c r="AF94" s="20">
        <f t="shared" si="32"/>
        <v>0</v>
      </c>
      <c r="AG94" s="20">
        <f t="shared" si="32"/>
        <v>0</v>
      </c>
    </row>
    <row r="95" spans="1:33" x14ac:dyDescent="0.25">
      <c r="B95" s="20">
        <v>8.7690000000000008E-3</v>
      </c>
      <c r="C95" s="20">
        <v>-32.430346999999998</v>
      </c>
      <c r="D95" s="20">
        <v>-0.53598000000000001</v>
      </c>
      <c r="E95">
        <v>253.26817299999999</v>
      </c>
      <c r="F95">
        <v>-31.307943000000002</v>
      </c>
      <c r="G95">
        <v>-66.258208999999994</v>
      </c>
      <c r="I95" s="20">
        <f t="shared" si="26"/>
        <v>0</v>
      </c>
      <c r="J95" s="20">
        <f t="shared" si="26"/>
        <v>0</v>
      </c>
      <c r="K95" s="20">
        <f t="shared" si="26"/>
        <v>0</v>
      </c>
      <c r="L95" s="20">
        <f t="shared" si="26"/>
        <v>0</v>
      </c>
      <c r="M95" s="20">
        <f t="shared" si="26"/>
        <v>0</v>
      </c>
      <c r="N95" s="20">
        <f t="shared" si="26"/>
        <v>0</v>
      </c>
      <c r="O95" s="20">
        <f t="shared" si="26"/>
        <v>0</v>
      </c>
      <c r="P95" s="20">
        <f t="shared" si="26"/>
        <v>0</v>
      </c>
      <c r="Q95" s="20">
        <f t="shared" si="26"/>
        <v>0</v>
      </c>
      <c r="R95" s="20">
        <f t="shared" si="26"/>
        <v>-35.995466</v>
      </c>
      <c r="S95" s="20">
        <f t="shared" si="26"/>
        <v>0</v>
      </c>
      <c r="T95" s="20">
        <f t="shared" si="26"/>
        <v>-2.0177509999999756</v>
      </c>
      <c r="V95" s="20">
        <f t="shared" ref="V95:AG95" si="33">V81-V66</f>
        <v>0</v>
      </c>
      <c r="W95" s="20">
        <f t="shared" si="33"/>
        <v>0</v>
      </c>
      <c r="X95" s="20">
        <f t="shared" si="33"/>
        <v>0</v>
      </c>
      <c r="Y95" s="20">
        <f t="shared" si="33"/>
        <v>0</v>
      </c>
      <c r="Z95" s="20">
        <f t="shared" si="33"/>
        <v>0</v>
      </c>
      <c r="AA95" s="20">
        <f t="shared" si="33"/>
        <v>0</v>
      </c>
      <c r="AB95" s="20">
        <f t="shared" si="33"/>
        <v>0</v>
      </c>
      <c r="AC95" s="20">
        <f t="shared" si="33"/>
        <v>0</v>
      </c>
      <c r="AD95" s="20">
        <f t="shared" si="33"/>
        <v>0</v>
      </c>
      <c r="AE95" s="20">
        <f t="shared" si="33"/>
        <v>0</v>
      </c>
      <c r="AF95" s="20">
        <f t="shared" si="33"/>
        <v>0</v>
      </c>
      <c r="AG95" s="20">
        <f t="shared" si="33"/>
        <v>0</v>
      </c>
    </row>
    <row r="96" spans="1:33" x14ac:dyDescent="0.25">
      <c r="B96" s="20">
        <v>-157.74903900000001</v>
      </c>
      <c r="C96" s="20">
        <v>-1.7923910000000001</v>
      </c>
      <c r="D96" s="20">
        <v>-521.10809300000005</v>
      </c>
      <c r="E96">
        <v>2.3423250000000002</v>
      </c>
      <c r="F96">
        <v>-2885.0893550000001</v>
      </c>
      <c r="G96">
        <v>25.168818999999999</v>
      </c>
      <c r="I96" s="20">
        <f t="shared" si="26"/>
        <v>0</v>
      </c>
      <c r="J96" s="20">
        <f t="shared" si="26"/>
        <v>0</v>
      </c>
      <c r="K96" s="20">
        <f t="shared" si="26"/>
        <v>0</v>
      </c>
      <c r="L96" s="20">
        <f t="shared" si="26"/>
        <v>0</v>
      </c>
      <c r="M96" s="20">
        <f t="shared" si="26"/>
        <v>0</v>
      </c>
      <c r="N96" s="20">
        <f t="shared" si="26"/>
        <v>0</v>
      </c>
      <c r="O96" s="20">
        <f t="shared" si="26"/>
        <v>0</v>
      </c>
      <c r="P96" s="20">
        <f t="shared" si="26"/>
        <v>0</v>
      </c>
      <c r="Q96" s="20">
        <f t="shared" si="26"/>
        <v>0</v>
      </c>
      <c r="R96" s="20">
        <f t="shared" si="26"/>
        <v>-62.015915</v>
      </c>
      <c r="S96" s="20">
        <f t="shared" si="26"/>
        <v>2.0177509999999756</v>
      </c>
      <c r="T96" s="20">
        <f t="shared" si="26"/>
        <v>0</v>
      </c>
      <c r="V96" s="20">
        <f t="shared" ref="V96:AG96" si="34">V82-V67</f>
        <v>0</v>
      </c>
      <c r="W96" s="20">
        <f t="shared" si="34"/>
        <v>0</v>
      </c>
      <c r="X96" s="20">
        <f t="shared" si="34"/>
        <v>0</v>
      </c>
      <c r="Y96" s="20">
        <f t="shared" si="34"/>
        <v>0</v>
      </c>
      <c r="Z96" s="20">
        <f t="shared" si="34"/>
        <v>0</v>
      </c>
      <c r="AA96" s="20">
        <f t="shared" si="34"/>
        <v>0</v>
      </c>
      <c r="AB96" s="20">
        <f t="shared" si="34"/>
        <v>0</v>
      </c>
      <c r="AC96" s="20">
        <f t="shared" si="34"/>
        <v>0</v>
      </c>
      <c r="AD96" s="20">
        <f t="shared" si="34"/>
        <v>0</v>
      </c>
      <c r="AE96" s="20">
        <f t="shared" si="34"/>
        <v>0</v>
      </c>
      <c r="AF96" s="20">
        <f t="shared" si="34"/>
        <v>0</v>
      </c>
      <c r="AG96" s="20">
        <f t="shared" si="34"/>
        <v>0</v>
      </c>
    </row>
    <row r="97" spans="1:33" x14ac:dyDescent="0.25">
      <c r="B97" s="20">
        <v>-0.35291800000000001</v>
      </c>
      <c r="C97" s="20">
        <v>-125.276161</v>
      </c>
      <c r="D97" s="20">
        <v>2.3389139999999999</v>
      </c>
      <c r="E97">
        <v>-20870.820312</v>
      </c>
      <c r="F97">
        <v>3.7675169999999998</v>
      </c>
      <c r="G97">
        <v>6463.4228519999997</v>
      </c>
      <c r="I97" s="20">
        <f t="shared" si="26"/>
        <v>0</v>
      </c>
      <c r="J97" s="20">
        <f t="shared" si="26"/>
        <v>0</v>
      </c>
      <c r="K97" s="20">
        <f t="shared" si="26"/>
        <v>0</v>
      </c>
      <c r="L97" s="20">
        <f t="shared" si="26"/>
        <v>0</v>
      </c>
      <c r="M97" s="20">
        <f t="shared" si="26"/>
        <v>0</v>
      </c>
      <c r="N97" s="20">
        <f t="shared" si="26"/>
        <v>0</v>
      </c>
      <c r="O97" s="20">
        <f t="shared" si="26"/>
        <v>0</v>
      </c>
      <c r="P97" s="20">
        <f t="shared" si="26"/>
        <v>0</v>
      </c>
      <c r="Q97" s="20">
        <f t="shared" si="26"/>
        <v>0</v>
      </c>
      <c r="R97" s="20">
        <f t="shared" si="26"/>
        <v>0</v>
      </c>
      <c r="S97" s="20">
        <f t="shared" si="26"/>
        <v>-5.6800000000001294E-4</v>
      </c>
      <c r="T97" s="20">
        <f t="shared" si="26"/>
        <v>0</v>
      </c>
      <c r="V97" s="20">
        <f t="shared" ref="V97:AG97" si="35">V83-V68</f>
        <v>0</v>
      </c>
      <c r="W97" s="20">
        <f t="shared" si="35"/>
        <v>0</v>
      </c>
      <c r="X97" s="20">
        <f t="shared" si="35"/>
        <v>0</v>
      </c>
      <c r="Y97" s="20">
        <f t="shared" si="35"/>
        <v>0</v>
      </c>
      <c r="Z97" s="20">
        <f t="shared" si="35"/>
        <v>0</v>
      </c>
      <c r="AA97" s="20">
        <f t="shared" si="35"/>
        <v>0</v>
      </c>
      <c r="AB97" s="20">
        <f t="shared" si="35"/>
        <v>0</v>
      </c>
      <c r="AC97" s="20">
        <f t="shared" si="35"/>
        <v>0</v>
      </c>
      <c r="AD97" s="20">
        <f t="shared" si="35"/>
        <v>0</v>
      </c>
      <c r="AE97" s="20">
        <f t="shared" si="35"/>
        <v>0</v>
      </c>
      <c r="AF97" s="20">
        <f t="shared" si="35"/>
        <v>0</v>
      </c>
      <c r="AG97" s="20">
        <f t="shared" si="35"/>
        <v>0</v>
      </c>
    </row>
    <row r="98" spans="1:33" x14ac:dyDescent="0.25">
      <c r="B98">
        <v>7.8467399999999996</v>
      </c>
      <c r="C98">
        <v>-27.618905999999999</v>
      </c>
      <c r="D98">
        <v>-286.09487899999999</v>
      </c>
      <c r="E98">
        <v>38.742610999999997</v>
      </c>
      <c r="F98">
        <v>-51884.808594000002</v>
      </c>
      <c r="G98">
        <v>380.185699</v>
      </c>
      <c r="I98" s="20">
        <f t="shared" si="26"/>
        <v>0</v>
      </c>
      <c r="J98" s="20">
        <f t="shared" si="26"/>
        <v>0</v>
      </c>
      <c r="K98" s="20">
        <f t="shared" si="26"/>
        <v>0</v>
      </c>
      <c r="L98" s="20">
        <f t="shared" si="26"/>
        <v>0</v>
      </c>
      <c r="M98" s="20">
        <f t="shared" si="26"/>
        <v>0</v>
      </c>
      <c r="N98" s="20">
        <f t="shared" si="26"/>
        <v>0</v>
      </c>
      <c r="O98" s="20">
        <f t="shared" si="26"/>
        <v>0</v>
      </c>
      <c r="P98" s="20">
        <f t="shared" si="26"/>
        <v>0</v>
      </c>
      <c r="Q98" s="20">
        <f t="shared" si="26"/>
        <v>0</v>
      </c>
      <c r="R98" s="20">
        <f t="shared" si="26"/>
        <v>5.6599999999999706E-4</v>
      </c>
      <c r="S98" s="20">
        <f t="shared" si="26"/>
        <v>0</v>
      </c>
      <c r="T98" s="20">
        <f t="shared" si="26"/>
        <v>0</v>
      </c>
      <c r="V98" s="20">
        <f t="shared" ref="V98:AG98" si="36">V84-V69</f>
        <v>0</v>
      </c>
      <c r="W98" s="20">
        <f t="shared" si="36"/>
        <v>0</v>
      </c>
      <c r="X98" s="20">
        <f t="shared" si="36"/>
        <v>0</v>
      </c>
      <c r="Y98" s="20">
        <f t="shared" si="36"/>
        <v>0</v>
      </c>
      <c r="Z98" s="20">
        <f t="shared" si="36"/>
        <v>0</v>
      </c>
      <c r="AA98" s="20">
        <f t="shared" si="36"/>
        <v>0</v>
      </c>
      <c r="AB98" s="20">
        <f t="shared" si="36"/>
        <v>0</v>
      </c>
      <c r="AC98" s="20">
        <f t="shared" si="36"/>
        <v>0</v>
      </c>
      <c r="AD98" s="20">
        <f t="shared" si="36"/>
        <v>0</v>
      </c>
      <c r="AE98" s="20">
        <f t="shared" si="36"/>
        <v>0</v>
      </c>
      <c r="AF98" s="20">
        <f t="shared" si="36"/>
        <v>0</v>
      </c>
      <c r="AG98" s="20">
        <f t="shared" si="36"/>
        <v>0</v>
      </c>
    </row>
    <row r="99" spans="1:33" x14ac:dyDescent="0.25">
      <c r="B99">
        <v>-0.24502599999999999</v>
      </c>
      <c r="C99">
        <v>-142.92569</v>
      </c>
      <c r="D99">
        <v>8.7937510000000003</v>
      </c>
      <c r="E99">
        <v>-2358.217529</v>
      </c>
      <c r="F99">
        <v>464.41030899999998</v>
      </c>
      <c r="G99">
        <v>1049.323486</v>
      </c>
      <c r="I99" s="20">
        <f t="shared" si="26"/>
        <v>0</v>
      </c>
      <c r="J99" s="20">
        <f t="shared" si="26"/>
        <v>0</v>
      </c>
      <c r="K99" s="20">
        <f t="shared" si="26"/>
        <v>0</v>
      </c>
      <c r="L99" s="20">
        <f t="shared" si="26"/>
        <v>0</v>
      </c>
      <c r="M99" s="20">
        <f t="shared" si="26"/>
        <v>0</v>
      </c>
      <c r="N99" s="20">
        <f t="shared" si="26"/>
        <v>0</v>
      </c>
      <c r="O99" s="20">
        <f t="shared" si="26"/>
        <v>0</v>
      </c>
      <c r="P99" s="20">
        <f t="shared" si="26"/>
        <v>0</v>
      </c>
      <c r="Q99" s="20">
        <f t="shared" si="26"/>
        <v>0</v>
      </c>
      <c r="R99" s="20">
        <f t="shared" si="26"/>
        <v>0</v>
      </c>
      <c r="S99" s="20">
        <f t="shared" si="26"/>
        <v>-3.2000000000000778E-5</v>
      </c>
      <c r="T99" s="20">
        <f t="shared" si="26"/>
        <v>0</v>
      </c>
      <c r="V99" s="20">
        <f t="shared" ref="V99:AG99" si="37">V85-V70</f>
        <v>0</v>
      </c>
      <c r="W99" s="20">
        <f t="shared" si="37"/>
        <v>0</v>
      </c>
      <c r="X99" s="20">
        <f t="shared" si="37"/>
        <v>0</v>
      </c>
      <c r="Y99" s="20">
        <f t="shared" si="37"/>
        <v>0</v>
      </c>
      <c r="Z99" s="20">
        <f t="shared" si="37"/>
        <v>0</v>
      </c>
      <c r="AA99" s="20">
        <f t="shared" si="37"/>
        <v>0</v>
      </c>
      <c r="AB99" s="20">
        <f t="shared" si="37"/>
        <v>0</v>
      </c>
      <c r="AC99" s="20">
        <f t="shared" si="37"/>
        <v>0</v>
      </c>
      <c r="AD99" s="20">
        <f t="shared" si="37"/>
        <v>0</v>
      </c>
      <c r="AE99" s="20">
        <f t="shared" si="37"/>
        <v>0</v>
      </c>
      <c r="AF99" s="20">
        <f t="shared" si="37"/>
        <v>0</v>
      </c>
      <c r="AG99" s="20">
        <f t="shared" si="37"/>
        <v>0</v>
      </c>
    </row>
    <row r="102" spans="1:33" x14ac:dyDescent="0.25">
      <c r="A102" s="47" t="s">
        <v>64</v>
      </c>
      <c r="B102" s="47"/>
      <c r="C102" s="47"/>
      <c r="D102" s="47"/>
      <c r="E102" s="47"/>
      <c r="F102" s="47"/>
      <c r="G102" s="47"/>
    </row>
    <row r="103" spans="1:33" x14ac:dyDescent="0.25">
      <c r="B103" s="20">
        <v>6.1513117717229999</v>
      </c>
      <c r="C103" s="20">
        <v>0.20278083080199999</v>
      </c>
      <c r="D103" s="20">
        <v>59.016947189772999</v>
      </c>
      <c r="E103" s="20">
        <v>-0.36321677099499999</v>
      </c>
      <c r="F103" s="20">
        <v>28.750916479996</v>
      </c>
      <c r="G103" s="20">
        <v>-2.8182456432760001</v>
      </c>
    </row>
    <row r="104" spans="1:33" x14ac:dyDescent="0.25">
      <c r="B104" s="20">
        <v>8.7689268069999996E-3</v>
      </c>
      <c r="C104" s="20">
        <v>-32.430343000019</v>
      </c>
      <c r="D104" s="20">
        <v>-0.53598039738100001</v>
      </c>
      <c r="E104" s="20">
        <v>253.271253717208</v>
      </c>
      <c r="F104" s="20">
        <v>-31.308323889217</v>
      </c>
      <c r="G104" s="20">
        <v>-66.259015963688995</v>
      </c>
    </row>
    <row r="105" spans="1:33" x14ac:dyDescent="0.25">
      <c r="B105" s="20">
        <v>-157.74902029218799</v>
      </c>
      <c r="C105" s="20">
        <v>-1.7923906052209999</v>
      </c>
      <c r="D105" s="20">
        <v>-521.10808642393101</v>
      </c>
      <c r="E105" s="20">
        <v>2.3423527854400001</v>
      </c>
      <c r="F105" s="20">
        <v>-2885.1237294016501</v>
      </c>
      <c r="G105" s="20">
        <v>25.169121152147</v>
      </c>
    </row>
    <row r="106" spans="1:33" x14ac:dyDescent="0.25">
      <c r="B106" s="20">
        <v>-0.35291807132000003</v>
      </c>
      <c r="C106" s="20">
        <v>-125.276162945517</v>
      </c>
      <c r="D106" s="20">
        <v>2.3389136831330002</v>
      </c>
      <c r="E106" s="20">
        <v>-20871.073586625302</v>
      </c>
      <c r="F106" s="20">
        <v>3.7675629064799998</v>
      </c>
      <c r="G106" s="20">
        <v>6463.5011866791801</v>
      </c>
      <c r="J106" s="64"/>
    </row>
    <row r="107" spans="1:33" x14ac:dyDescent="0.25">
      <c r="B107" s="20">
        <v>7.8467532917730001</v>
      </c>
      <c r="C107" s="20">
        <v>-27.618907117639999</v>
      </c>
      <c r="D107" s="20">
        <v>-286.09485439034898</v>
      </c>
      <c r="E107" s="20">
        <v>38.743080318737</v>
      </c>
      <c r="F107" s="20">
        <v>-51885.437182349997</v>
      </c>
      <c r="G107" s="20">
        <v>380.19032499075098</v>
      </c>
      <c r="J107" s="64"/>
    </row>
    <row r="108" spans="1:33" x14ac:dyDescent="0.25">
      <c r="B108" s="20">
        <v>-0.24502575251700001</v>
      </c>
      <c r="C108" s="20">
        <v>-142.92569762000301</v>
      </c>
      <c r="D108" s="20">
        <v>8.7937513895230008</v>
      </c>
      <c r="E108" s="20">
        <v>-2358.2460864732402</v>
      </c>
      <c r="F108" s="20">
        <v>464.415960762802</v>
      </c>
      <c r="G108" s="20">
        <v>1049.33624550063</v>
      </c>
      <c r="J108" s="64"/>
    </row>
    <row r="109" spans="1:33" x14ac:dyDescent="0.25">
      <c r="J109" s="64"/>
    </row>
    <row r="110" spans="1:33" x14ac:dyDescent="0.25">
      <c r="J110" s="64"/>
    </row>
    <row r="111" spans="1:33" x14ac:dyDescent="0.25">
      <c r="J111" s="64"/>
    </row>
    <row r="112" spans="1:33" x14ac:dyDescent="0.25">
      <c r="J112" s="64"/>
    </row>
    <row r="113" spans="10:10" x14ac:dyDescent="0.25">
      <c r="J113" s="64"/>
    </row>
    <row r="114" spans="10:10" x14ac:dyDescent="0.25">
      <c r="J114" s="64"/>
    </row>
    <row r="115" spans="10:10" x14ac:dyDescent="0.25">
      <c r="J115" s="64"/>
    </row>
    <row r="116" spans="10:10" x14ac:dyDescent="0.25">
      <c r="J116" s="64"/>
    </row>
    <row r="117" spans="10:10" x14ac:dyDescent="0.25">
      <c r="J117" s="64"/>
    </row>
    <row r="118" spans="10:10" x14ac:dyDescent="0.25">
      <c r="J118" s="64"/>
    </row>
    <row r="119" spans="10:10" x14ac:dyDescent="0.25">
      <c r="J119" s="64"/>
    </row>
    <row r="120" spans="10:10" x14ac:dyDescent="0.25">
      <c r="J120" s="64"/>
    </row>
    <row r="121" spans="10:10" x14ac:dyDescent="0.25">
      <c r="J121" s="64"/>
    </row>
    <row r="122" spans="10:10" x14ac:dyDescent="0.25">
      <c r="J122" s="64"/>
    </row>
    <row r="123" spans="10:10" x14ac:dyDescent="0.25">
      <c r="J123" s="64"/>
    </row>
    <row r="124" spans="10:10" x14ac:dyDescent="0.25">
      <c r="J124" s="64"/>
    </row>
    <row r="125" spans="10:10" x14ac:dyDescent="0.25">
      <c r="J125" s="64"/>
    </row>
    <row r="126" spans="10:10" x14ac:dyDescent="0.25">
      <c r="J126" s="64"/>
    </row>
    <row r="127" spans="10:10" x14ac:dyDescent="0.25">
      <c r="J127" s="64"/>
    </row>
    <row r="128" spans="10:10" x14ac:dyDescent="0.25">
      <c r="J128" s="64"/>
    </row>
    <row r="129" spans="10:10" x14ac:dyDescent="0.25">
      <c r="J129" s="64"/>
    </row>
    <row r="130" spans="10:10" x14ac:dyDescent="0.25">
      <c r="J130" s="64"/>
    </row>
    <row r="131" spans="10:10" x14ac:dyDescent="0.25">
      <c r="J131" s="64"/>
    </row>
    <row r="132" spans="10:10" x14ac:dyDescent="0.25">
      <c r="J132" s="64"/>
    </row>
    <row r="133" spans="10:10" x14ac:dyDescent="0.25">
      <c r="J133" s="64"/>
    </row>
    <row r="134" spans="10:10" x14ac:dyDescent="0.25">
      <c r="J134" s="64"/>
    </row>
    <row r="135" spans="10:10" x14ac:dyDescent="0.25">
      <c r="J135" s="64"/>
    </row>
    <row r="136" spans="10:10" x14ac:dyDescent="0.25">
      <c r="J136" s="64"/>
    </row>
    <row r="137" spans="10:10" x14ac:dyDescent="0.25">
      <c r="J137" s="64"/>
    </row>
    <row r="138" spans="10:10" x14ac:dyDescent="0.25">
      <c r="J138" s="64"/>
    </row>
    <row r="139" spans="10:10" x14ac:dyDescent="0.25">
      <c r="J139" s="64"/>
    </row>
    <row r="140" spans="10:10" x14ac:dyDescent="0.25">
      <c r="J140" s="64"/>
    </row>
    <row r="141" spans="10:10" x14ac:dyDescent="0.25">
      <c r="J141" s="64"/>
    </row>
  </sheetData>
  <mergeCells count="22">
    <mergeCell ref="A75:G75"/>
    <mergeCell ref="A84:G84"/>
    <mergeCell ref="I87:T87"/>
    <mergeCell ref="A93:G93"/>
    <mergeCell ref="A102:G102"/>
    <mergeCell ref="A1:G1"/>
    <mergeCell ref="A56:G56"/>
    <mergeCell ref="I58:T58"/>
    <mergeCell ref="V58:AG58"/>
    <mergeCell ref="A66:G66"/>
    <mergeCell ref="I73:T73"/>
    <mergeCell ref="V73:AG73"/>
    <mergeCell ref="A47:G47"/>
    <mergeCell ref="I3:T3"/>
    <mergeCell ref="V3:AG3"/>
    <mergeCell ref="I18:T18"/>
    <mergeCell ref="V18:AG18"/>
    <mergeCell ref="I32:T32"/>
    <mergeCell ref="A11:G11"/>
    <mergeCell ref="A20:G20"/>
    <mergeCell ref="A29:G29"/>
    <mergeCell ref="A38:G3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4CFB-0410-4D0E-AE05-B96DD5144D1A}">
  <dimension ref="A1:M73"/>
  <sheetViews>
    <sheetView topLeftCell="A25" zoomScale="110" zoomScaleNormal="110" workbookViewId="0">
      <selection activeCell="E19" sqref="E19"/>
    </sheetView>
  </sheetViews>
  <sheetFormatPr defaultRowHeight="15" x14ac:dyDescent="0.25"/>
  <cols>
    <col min="2" max="2" width="11.5703125" bestFit="1" customWidth="1"/>
    <col min="3" max="3" width="12.7109375" bestFit="1" customWidth="1"/>
    <col min="4" max="4" width="12.5703125" bestFit="1" customWidth="1"/>
    <col min="5" max="5" width="11.28515625" bestFit="1" customWidth="1"/>
    <col min="6" max="6" width="10" bestFit="1" customWidth="1"/>
    <col min="7" max="7" width="12" bestFit="1" customWidth="1"/>
    <col min="8" max="8" width="11.28515625" bestFit="1" customWidth="1"/>
    <col min="9" max="9" width="11.5703125" bestFit="1" customWidth="1"/>
    <col min="10" max="10" width="11.28515625" bestFit="1" customWidth="1"/>
    <col min="11" max="11" width="10" bestFit="1" customWidth="1"/>
    <col min="12" max="12" width="12.7109375" bestFit="1" customWidth="1"/>
    <col min="13" max="13" width="14.28515625" bestFit="1" customWidth="1"/>
  </cols>
  <sheetData>
    <row r="1" spans="1:13" x14ac:dyDescent="0.25">
      <c r="A1" s="58" t="s">
        <v>18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3" x14ac:dyDescent="0.25">
      <c r="A2" s="1"/>
      <c r="B2" s="59" t="s">
        <v>14</v>
      </c>
      <c r="C2" s="59"/>
      <c r="D2" s="59"/>
      <c r="E2" s="59"/>
      <c r="F2" s="59"/>
      <c r="G2" s="59"/>
      <c r="H2" s="59"/>
      <c r="I2" s="59"/>
      <c r="J2" s="59"/>
      <c r="K2" s="60"/>
    </row>
    <row r="3" spans="1:13" x14ac:dyDescent="0.25">
      <c r="A3" s="51" t="s">
        <v>11</v>
      </c>
      <c r="B3" s="61" t="s">
        <v>4</v>
      </c>
      <c r="C3" s="61"/>
      <c r="D3" s="61"/>
      <c r="E3" s="61"/>
      <c r="F3" s="2"/>
      <c r="G3" s="61" t="s">
        <v>5</v>
      </c>
      <c r="H3" s="61"/>
      <c r="I3" s="61"/>
      <c r="J3" s="61"/>
      <c r="K3" s="3"/>
      <c r="L3" t="s">
        <v>16</v>
      </c>
      <c r="M3" t="s">
        <v>17</v>
      </c>
    </row>
    <row r="4" spans="1:13" x14ac:dyDescent="0.25">
      <c r="A4" s="52"/>
      <c r="B4" s="47"/>
      <c r="C4" s="47"/>
      <c r="D4" s="47"/>
      <c r="E4" s="47"/>
      <c r="F4" t="s">
        <v>6</v>
      </c>
      <c r="G4" s="47"/>
      <c r="H4" s="47"/>
      <c r="I4" s="47"/>
      <c r="J4" s="47"/>
      <c r="K4" s="6" t="s">
        <v>6</v>
      </c>
    </row>
    <row r="5" spans="1:13" x14ac:dyDescent="0.25">
      <c r="A5" s="52"/>
      <c r="B5" s="14" t="s">
        <v>0</v>
      </c>
      <c r="C5" s="15"/>
      <c r="D5" s="15" t="s">
        <v>1</v>
      </c>
      <c r="E5" s="15" t="s">
        <v>2</v>
      </c>
      <c r="F5" s="15"/>
      <c r="G5" s="2" t="s">
        <v>0</v>
      </c>
      <c r="H5" s="2"/>
      <c r="I5" s="15" t="s">
        <v>1</v>
      </c>
      <c r="J5" s="3" t="s">
        <v>2</v>
      </c>
      <c r="K5" s="6"/>
    </row>
    <row r="6" spans="1:13" x14ac:dyDescent="0.25">
      <c r="A6" s="52"/>
      <c r="B6" s="17">
        <v>0</v>
      </c>
      <c r="C6" s="18">
        <v>0</v>
      </c>
      <c r="D6" s="20">
        <f>IF(C6&lt;&gt;0,2*PI()/ABS(C6),0)</f>
        <v>0</v>
      </c>
      <c r="E6" s="18">
        <v>0</v>
      </c>
      <c r="F6" s="37"/>
      <c r="G6" s="17"/>
      <c r="H6" s="18"/>
      <c r="I6" s="20">
        <f>IF(H6&lt;&gt;0,2*PI()/ABS(H6),0)</f>
        <v>0</v>
      </c>
      <c r="J6" s="18">
        <v>0</v>
      </c>
      <c r="K6" s="37"/>
      <c r="L6" s="20"/>
      <c r="M6" s="20"/>
    </row>
    <row r="7" spans="1:13" x14ac:dyDescent="0.25">
      <c r="A7" s="52"/>
      <c r="B7" s="19">
        <v>0</v>
      </c>
      <c r="C7" s="20">
        <v>0</v>
      </c>
      <c r="D7" s="20">
        <f t="shared" ref="D7:D17" si="0">IF(C7&lt;&gt;0,2*PI()/ABS(C7),0)</f>
        <v>0</v>
      </c>
      <c r="E7" s="20">
        <v>0</v>
      </c>
      <c r="F7" s="38"/>
      <c r="G7" s="19"/>
      <c r="H7" s="20"/>
      <c r="I7" s="20">
        <f t="shared" ref="I7:I17" si="1">IF(H7&lt;&gt;0,2*PI()/ABS(H7),0)</f>
        <v>0</v>
      </c>
      <c r="J7" s="20">
        <v>0</v>
      </c>
      <c r="K7" s="38"/>
      <c r="L7" s="20"/>
      <c r="M7" s="20"/>
    </row>
    <row r="8" spans="1:13" x14ac:dyDescent="0.25">
      <c r="A8" s="52"/>
      <c r="B8" s="19">
        <v>0</v>
      </c>
      <c r="C8" s="20">
        <v>0</v>
      </c>
      <c r="D8" s="20">
        <f t="shared" si="0"/>
        <v>0</v>
      </c>
      <c r="E8" s="20">
        <v>0</v>
      </c>
      <c r="F8" s="38"/>
      <c r="G8" s="19"/>
      <c r="H8" s="20"/>
      <c r="I8" s="20">
        <f t="shared" si="1"/>
        <v>0</v>
      </c>
      <c r="J8" s="20">
        <v>0</v>
      </c>
      <c r="K8" s="38"/>
      <c r="L8" s="20"/>
      <c r="M8" s="20"/>
    </row>
    <row r="9" spans="1:13" x14ac:dyDescent="0.25">
      <c r="A9" s="52"/>
      <c r="B9" s="19">
        <v>0</v>
      </c>
      <c r="C9" s="20">
        <v>0</v>
      </c>
      <c r="D9" s="20">
        <f t="shared" si="0"/>
        <v>0</v>
      </c>
      <c r="E9" s="20">
        <v>0</v>
      </c>
      <c r="F9" s="38"/>
      <c r="G9" s="19"/>
      <c r="H9" s="20"/>
      <c r="I9" s="20">
        <f t="shared" si="1"/>
        <v>0</v>
      </c>
      <c r="J9" s="20">
        <v>0</v>
      </c>
      <c r="K9" s="38"/>
      <c r="L9" s="20"/>
      <c r="M9" s="20"/>
    </row>
    <row r="10" spans="1:13" x14ac:dyDescent="0.25">
      <c r="A10" s="52"/>
      <c r="B10" s="21">
        <v>3.9786942159999996E-3</v>
      </c>
      <c r="C10" s="22">
        <v>0</v>
      </c>
      <c r="D10" s="25">
        <f t="shared" si="0"/>
        <v>0</v>
      </c>
      <c r="E10" s="26">
        <f>-B10</f>
        <v>-3.9786942159999996E-3</v>
      </c>
      <c r="F10" s="38" t="s">
        <v>13</v>
      </c>
      <c r="G10" s="21">
        <v>6.2032399999999996E-3</v>
      </c>
      <c r="H10" s="22">
        <v>0</v>
      </c>
      <c r="I10" s="25">
        <f t="shared" si="1"/>
        <v>0</v>
      </c>
      <c r="J10" s="26">
        <f>-G10</f>
        <v>-6.2032399999999996E-3</v>
      </c>
      <c r="K10" s="38" t="s">
        <v>13</v>
      </c>
      <c r="L10" s="20" t="e">
        <f t="shared" ref="L10:M70" si="2">100*((D10-I10)/I10)</f>
        <v>#DIV/0!</v>
      </c>
      <c r="M10" s="20">
        <f>100*((E10-J10)/J10)</f>
        <v>-35.86103042925955</v>
      </c>
    </row>
    <row r="11" spans="1:13" x14ac:dyDescent="0.25">
      <c r="A11" s="52"/>
      <c r="B11" s="21">
        <v>-6.81733389E-3</v>
      </c>
      <c r="C11" s="22">
        <v>8.0228096772999996E-2</v>
      </c>
      <c r="D11" s="25">
        <f t="shared" si="0"/>
        <v>78.316519522548774</v>
      </c>
      <c r="E11" s="26">
        <f>-B11</f>
        <v>6.81733389E-3</v>
      </c>
      <c r="F11" s="38" t="s">
        <v>7</v>
      </c>
      <c r="G11" s="21">
        <v>-2.1158000000000001E-3</v>
      </c>
      <c r="H11" s="22">
        <v>8.8857099999999994E-2</v>
      </c>
      <c r="I11" s="25">
        <f t="shared" si="1"/>
        <v>70.71112277105135</v>
      </c>
      <c r="J11" s="26">
        <f>-G11</f>
        <v>2.1158000000000001E-3</v>
      </c>
      <c r="K11" s="38" t="s">
        <v>7</v>
      </c>
      <c r="L11" s="20">
        <f t="shared" si="2"/>
        <v>10.755587598463393</v>
      </c>
      <c r="M11" s="20">
        <f t="shared" si="2"/>
        <v>222.21069524529727</v>
      </c>
    </row>
    <row r="12" spans="1:13" x14ac:dyDescent="0.25">
      <c r="A12" s="52"/>
      <c r="B12" s="21">
        <v>-6.81733389E-3</v>
      </c>
      <c r="C12" s="22">
        <v>-8.0228096772999996E-2</v>
      </c>
      <c r="D12" s="25">
        <f t="shared" si="0"/>
        <v>78.316519522548774</v>
      </c>
      <c r="E12" s="26">
        <f t="shared" ref="E12:E17" si="3">-B12</f>
        <v>6.81733389E-3</v>
      </c>
      <c r="F12" s="38" t="s">
        <v>7</v>
      </c>
      <c r="G12" s="21">
        <v>-2.1158000000000001E-3</v>
      </c>
      <c r="H12" s="22">
        <v>-8.8857099999999994E-2</v>
      </c>
      <c r="I12" s="25">
        <f t="shared" si="1"/>
        <v>70.71112277105135</v>
      </c>
      <c r="J12" s="26">
        <f t="shared" ref="J12:J17" si="4">-G12</f>
        <v>2.1158000000000001E-3</v>
      </c>
      <c r="K12" s="38" t="s">
        <v>7</v>
      </c>
      <c r="L12" s="20">
        <f t="shared" si="2"/>
        <v>10.755587598463393</v>
      </c>
      <c r="M12" s="20">
        <f t="shared" si="2"/>
        <v>222.21069524529727</v>
      </c>
    </row>
    <row r="13" spans="1:13" x14ac:dyDescent="0.25">
      <c r="A13" s="52"/>
      <c r="B13" s="21">
        <v>1.014363683182</v>
      </c>
      <c r="C13" s="22">
        <v>0</v>
      </c>
      <c r="D13" s="25">
        <f t="shared" si="0"/>
        <v>0</v>
      </c>
      <c r="E13" s="26">
        <f t="shared" si="3"/>
        <v>-1.014363683182</v>
      </c>
      <c r="F13" s="38" t="s">
        <v>10</v>
      </c>
      <c r="G13" s="21">
        <v>1.01146</v>
      </c>
      <c r="H13" s="22">
        <v>0</v>
      </c>
      <c r="I13" s="25">
        <f t="shared" si="1"/>
        <v>0</v>
      </c>
      <c r="J13" s="26">
        <f t="shared" si="4"/>
        <v>-1.01146</v>
      </c>
      <c r="K13" s="38" t="s">
        <v>10</v>
      </c>
      <c r="L13" s="20" t="e">
        <f t="shared" si="2"/>
        <v>#DIV/0!</v>
      </c>
      <c r="M13" s="20">
        <f t="shared" si="2"/>
        <v>0.2870783997389873</v>
      </c>
    </row>
    <row r="14" spans="1:13" x14ac:dyDescent="0.25">
      <c r="A14" s="52"/>
      <c r="B14" s="21">
        <v>-2.7764362530010001</v>
      </c>
      <c r="C14" s="22">
        <v>0</v>
      </c>
      <c r="D14" s="25">
        <f t="shared" si="0"/>
        <v>0</v>
      </c>
      <c r="E14" s="26">
        <f t="shared" ref="E14:E15" si="5">-B14</f>
        <v>2.7764362530010001</v>
      </c>
      <c r="F14" s="38" t="s">
        <v>10</v>
      </c>
      <c r="G14" s="21">
        <v>-2.7756699999999999</v>
      </c>
      <c r="H14" s="22">
        <v>0</v>
      </c>
      <c r="I14" s="25">
        <f t="shared" si="1"/>
        <v>0</v>
      </c>
      <c r="J14" s="26">
        <f t="shared" ref="J14:J15" si="6">-G14</f>
        <v>2.7756699999999999</v>
      </c>
      <c r="K14" s="38" t="s">
        <v>10</v>
      </c>
      <c r="L14" s="20" t="e">
        <f t="shared" si="2"/>
        <v>#DIV/0!</v>
      </c>
      <c r="M14" s="20">
        <f t="shared" si="2"/>
        <v>2.7606055510928693E-2</v>
      </c>
    </row>
    <row r="15" spans="1:13" x14ac:dyDescent="0.25">
      <c r="A15" s="52"/>
      <c r="B15" s="21">
        <v>-2.2541770496629998</v>
      </c>
      <c r="C15" s="22">
        <v>0</v>
      </c>
      <c r="D15" s="25">
        <f t="shared" si="0"/>
        <v>0</v>
      </c>
      <c r="E15" s="26">
        <f t="shared" si="5"/>
        <v>2.2541770496629998</v>
      </c>
      <c r="F15" s="38" t="s">
        <v>9</v>
      </c>
      <c r="G15" s="21">
        <v>-2.3972600000000002</v>
      </c>
      <c r="H15" s="22">
        <v>0</v>
      </c>
      <c r="I15" s="25">
        <f t="shared" si="1"/>
        <v>0</v>
      </c>
      <c r="J15" s="26">
        <f t="shared" si="6"/>
        <v>2.3972600000000002</v>
      </c>
      <c r="K15" s="38" t="s">
        <v>9</v>
      </c>
      <c r="L15" s="20" t="e">
        <f t="shared" si="2"/>
        <v>#DIV/0!</v>
      </c>
      <c r="M15" s="20">
        <f t="shared" si="2"/>
        <v>-5.9686037533267289</v>
      </c>
    </row>
    <row r="16" spans="1:13" x14ac:dyDescent="0.25">
      <c r="A16" s="52"/>
      <c r="B16" s="21">
        <v>-0.212916551683</v>
      </c>
      <c r="C16" s="22">
        <v>3.412961756793</v>
      </c>
      <c r="D16" s="25">
        <f t="shared" si="0"/>
        <v>1.8409773548366979</v>
      </c>
      <c r="E16" s="26">
        <f t="shared" si="3"/>
        <v>0.212916551683</v>
      </c>
      <c r="F16" s="38" t="s">
        <v>8</v>
      </c>
      <c r="G16" s="21">
        <v>-0.129162</v>
      </c>
      <c r="H16" s="22">
        <v>3.3148300000000002</v>
      </c>
      <c r="I16" s="25">
        <f t="shared" si="1"/>
        <v>1.8954773871298334</v>
      </c>
      <c r="J16" s="26">
        <f t="shared" si="4"/>
        <v>0.129162</v>
      </c>
      <c r="K16" s="38" t="s">
        <v>8</v>
      </c>
      <c r="L16" s="20">
        <f t="shared" si="2"/>
        <v>-2.8752668147447773</v>
      </c>
      <c r="M16" s="20">
        <f t="shared" si="2"/>
        <v>64.844576332822342</v>
      </c>
    </row>
    <row r="17" spans="1:13" x14ac:dyDescent="0.25">
      <c r="A17" s="53"/>
      <c r="B17" s="23">
        <v>-0.212916551683</v>
      </c>
      <c r="C17" s="24">
        <v>-3.412961756793</v>
      </c>
      <c r="D17" s="27">
        <f t="shared" si="0"/>
        <v>1.8409773548366979</v>
      </c>
      <c r="E17" s="28">
        <f t="shared" si="3"/>
        <v>0.212916551683</v>
      </c>
      <c r="F17" s="39" t="s">
        <v>8</v>
      </c>
      <c r="G17" s="23">
        <v>-0.129162</v>
      </c>
      <c r="H17" s="24">
        <v>-3.3148300000000002</v>
      </c>
      <c r="I17" s="27">
        <f t="shared" si="1"/>
        <v>1.8954773871298334</v>
      </c>
      <c r="J17" s="28">
        <f t="shared" si="4"/>
        <v>0.129162</v>
      </c>
      <c r="K17" s="39" t="s">
        <v>8</v>
      </c>
      <c r="L17" s="20">
        <f t="shared" si="2"/>
        <v>-2.8752668147447773</v>
      </c>
      <c r="M17" s="20">
        <f>100*((E17-J17)/J17)</f>
        <v>64.844576332822342</v>
      </c>
    </row>
    <row r="18" spans="1:13" x14ac:dyDescent="0.25">
      <c r="A18" s="11"/>
      <c r="B18" s="20"/>
      <c r="C18" s="20"/>
      <c r="D18" s="20"/>
      <c r="E18" s="20"/>
      <c r="F18" s="20"/>
      <c r="G18" s="20"/>
      <c r="H18" s="20"/>
      <c r="I18" s="20"/>
      <c r="J18" s="20"/>
      <c r="K18" s="38"/>
    </row>
    <row r="19" spans="1:13" x14ac:dyDescent="0.25">
      <c r="A19" s="11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3" x14ac:dyDescent="0.25">
      <c r="A20" s="11"/>
      <c r="B20" s="20"/>
      <c r="C20" s="20"/>
      <c r="D20" s="20"/>
      <c r="E20" s="20"/>
      <c r="F20" s="20"/>
      <c r="G20" s="20"/>
      <c r="H20" s="20"/>
      <c r="I20" s="20"/>
      <c r="J20" s="20"/>
      <c r="K20" s="38"/>
    </row>
    <row r="21" spans="1:13" x14ac:dyDescent="0.25">
      <c r="A21" s="11"/>
      <c r="B21" s="20"/>
      <c r="C21" s="20"/>
      <c r="D21" s="20"/>
      <c r="E21" s="20"/>
      <c r="F21" s="20"/>
      <c r="G21" s="20"/>
      <c r="H21" s="20"/>
      <c r="I21" s="20"/>
      <c r="J21" s="20"/>
      <c r="K21" s="38"/>
    </row>
    <row r="22" spans="1:13" x14ac:dyDescent="0.25">
      <c r="A22" s="51" t="s">
        <v>12</v>
      </c>
      <c r="B22" s="54" t="s">
        <v>4</v>
      </c>
      <c r="C22" s="54"/>
      <c r="D22" s="54"/>
      <c r="E22" s="54"/>
      <c r="F22" s="18"/>
      <c r="G22" s="54" t="s">
        <v>5</v>
      </c>
      <c r="H22" s="54"/>
      <c r="I22" s="54"/>
      <c r="J22" s="54"/>
      <c r="K22" s="37"/>
      <c r="L22" t="s">
        <v>16</v>
      </c>
      <c r="M22" t="s">
        <v>17</v>
      </c>
    </row>
    <row r="23" spans="1:13" x14ac:dyDescent="0.25">
      <c r="A23" s="52"/>
      <c r="B23" s="55"/>
      <c r="C23" s="55"/>
      <c r="D23" s="55"/>
      <c r="E23" s="55"/>
      <c r="F23" s="20" t="s">
        <v>6</v>
      </c>
      <c r="G23" s="55"/>
      <c r="H23" s="55"/>
      <c r="I23" s="55"/>
      <c r="J23" s="55"/>
      <c r="K23" s="38" t="s">
        <v>6</v>
      </c>
    </row>
    <row r="24" spans="1:13" x14ac:dyDescent="0.25">
      <c r="A24" s="52"/>
      <c r="B24" s="17" t="s">
        <v>0</v>
      </c>
      <c r="C24" s="18"/>
      <c r="D24" s="41" t="s">
        <v>1</v>
      </c>
      <c r="E24" s="18" t="s">
        <v>2</v>
      </c>
      <c r="F24" s="37"/>
      <c r="G24" s="17" t="s">
        <v>0</v>
      </c>
      <c r="H24" s="18"/>
      <c r="I24" s="41" t="s">
        <v>1</v>
      </c>
      <c r="J24" s="18" t="s">
        <v>2</v>
      </c>
      <c r="K24" s="37"/>
    </row>
    <row r="25" spans="1:13" x14ac:dyDescent="0.25">
      <c r="A25" s="52"/>
      <c r="B25" s="17">
        <v>0</v>
      </c>
      <c r="C25" s="18">
        <v>0</v>
      </c>
      <c r="D25" s="20">
        <f>IF(C25&lt;&gt;0,2*PI()/ABS(C25),0)</f>
        <v>0</v>
      </c>
      <c r="E25" s="18">
        <v>0</v>
      </c>
      <c r="F25" s="37"/>
      <c r="G25" s="17"/>
      <c r="H25" s="18"/>
      <c r="I25" s="20">
        <f>IF(H25&lt;&gt;0,2*PI()/ABS(H25),0)</f>
        <v>0</v>
      </c>
      <c r="J25" s="18">
        <v>0</v>
      </c>
      <c r="K25" s="37"/>
      <c r="L25" s="20"/>
      <c r="M25" s="20"/>
    </row>
    <row r="26" spans="1:13" x14ac:dyDescent="0.25">
      <c r="A26" s="52"/>
      <c r="B26" s="19">
        <v>0</v>
      </c>
      <c r="C26" s="20">
        <v>0</v>
      </c>
      <c r="D26" s="20">
        <f t="shared" ref="D26:D36" si="7">IF(C26&lt;&gt;0,2*PI()/ABS(C26),0)</f>
        <v>0</v>
      </c>
      <c r="E26" s="20">
        <v>0</v>
      </c>
      <c r="F26" s="38"/>
      <c r="G26" s="19"/>
      <c r="H26" s="20"/>
      <c r="I26" s="20">
        <f t="shared" ref="I26:I36" si="8">IF(H26&lt;&gt;0,2*PI()/ABS(H26),0)</f>
        <v>0</v>
      </c>
      <c r="J26" s="20">
        <v>0</v>
      </c>
      <c r="K26" s="38"/>
      <c r="L26" s="20"/>
      <c r="M26" s="20"/>
    </row>
    <row r="27" spans="1:13" x14ac:dyDescent="0.25">
      <c r="A27" s="52"/>
      <c r="B27" s="19">
        <v>0</v>
      </c>
      <c r="C27" s="20">
        <v>0</v>
      </c>
      <c r="D27" s="20">
        <f t="shared" si="7"/>
        <v>0</v>
      </c>
      <c r="E27" s="20">
        <v>0</v>
      </c>
      <c r="F27" s="38"/>
      <c r="G27" s="19"/>
      <c r="H27" s="20"/>
      <c r="I27" s="20">
        <f t="shared" si="8"/>
        <v>0</v>
      </c>
      <c r="J27" s="20">
        <v>0</v>
      </c>
      <c r="K27" s="38"/>
      <c r="L27" s="20"/>
      <c r="M27" s="20"/>
    </row>
    <row r="28" spans="1:13" x14ac:dyDescent="0.25">
      <c r="A28" s="52"/>
      <c r="B28" s="19">
        <v>0</v>
      </c>
      <c r="C28" s="20">
        <v>0</v>
      </c>
      <c r="D28" s="20">
        <f t="shared" si="7"/>
        <v>0</v>
      </c>
      <c r="E28" s="20">
        <v>0</v>
      </c>
      <c r="F28" s="38"/>
      <c r="G28" s="19"/>
      <c r="H28" s="20"/>
      <c r="I28" s="20">
        <f t="shared" si="8"/>
        <v>0</v>
      </c>
      <c r="J28" s="20">
        <v>0</v>
      </c>
      <c r="K28" s="38"/>
      <c r="L28" s="20"/>
      <c r="M28" s="20"/>
    </row>
    <row r="29" spans="1:13" x14ac:dyDescent="0.25">
      <c r="A29" s="52"/>
      <c r="B29" s="21">
        <v>4.8457610139999996E-3</v>
      </c>
      <c r="C29" s="22">
        <v>0</v>
      </c>
      <c r="D29" s="25">
        <f t="shared" si="7"/>
        <v>0</v>
      </c>
      <c r="E29" s="26">
        <f>-B29</f>
        <v>-4.8457610139999996E-3</v>
      </c>
      <c r="F29" s="38" t="s">
        <v>13</v>
      </c>
      <c r="G29" s="21">
        <v>7.3028600000000004E-3</v>
      </c>
      <c r="H29" s="22">
        <v>0</v>
      </c>
      <c r="I29" s="25">
        <f t="shared" si="8"/>
        <v>0</v>
      </c>
      <c r="J29" s="26">
        <f>-G29</f>
        <v>-7.3028600000000004E-3</v>
      </c>
      <c r="K29" s="38" t="s">
        <v>13</v>
      </c>
      <c r="L29" s="20" t="e">
        <f t="shared" si="2"/>
        <v>#DIV/0!</v>
      </c>
      <c r="M29" s="20">
        <f t="shared" si="2"/>
        <v>-33.645708475857411</v>
      </c>
    </row>
    <row r="30" spans="1:13" x14ac:dyDescent="0.25">
      <c r="A30" s="52"/>
      <c r="B30" s="21">
        <v>-4.2295258159999998E-3</v>
      </c>
      <c r="C30" s="22">
        <v>6.2582324726000005E-2</v>
      </c>
      <c r="D30" s="25">
        <f t="shared" si="7"/>
        <v>100.39872016082552</v>
      </c>
      <c r="E30" s="26">
        <f>-B30</f>
        <v>4.2295258159999998E-3</v>
      </c>
      <c r="F30" s="38" t="s">
        <v>7</v>
      </c>
      <c r="G30" s="21">
        <v>-6.5833999999999999E-4</v>
      </c>
      <c r="H30" s="22">
        <v>6.9493799999999994E-2</v>
      </c>
      <c r="I30" s="25">
        <f t="shared" si="8"/>
        <v>90.413609662726557</v>
      </c>
      <c r="J30" s="26">
        <f>-G30</f>
        <v>6.5833999999999999E-4</v>
      </c>
      <c r="K30" s="38" t="s">
        <v>7</v>
      </c>
      <c r="L30" s="20">
        <f t="shared" si="2"/>
        <v>11.04381357557431</v>
      </c>
      <c r="M30" s="20">
        <f t="shared" si="2"/>
        <v>542.45311176595681</v>
      </c>
    </row>
    <row r="31" spans="1:13" x14ac:dyDescent="0.25">
      <c r="A31" s="52"/>
      <c r="B31" s="21">
        <v>-4.2295258159999998E-3</v>
      </c>
      <c r="C31" s="22">
        <v>-6.2582324726000005E-2</v>
      </c>
      <c r="D31" s="25">
        <f t="shared" si="7"/>
        <v>100.39872016082552</v>
      </c>
      <c r="E31" s="26">
        <f t="shared" ref="E31:E36" si="9">-B31</f>
        <v>4.2295258159999998E-3</v>
      </c>
      <c r="F31" s="38" t="s">
        <v>7</v>
      </c>
      <c r="G31" s="21">
        <v>-6.5833999999999999E-4</v>
      </c>
      <c r="H31" s="22">
        <v>-6.9493799999999994E-2</v>
      </c>
      <c r="I31" s="25">
        <f t="shared" si="8"/>
        <v>90.413609662726557</v>
      </c>
      <c r="J31" s="26">
        <f t="shared" ref="J31:J36" si="10">-G31</f>
        <v>6.5833999999999999E-4</v>
      </c>
      <c r="K31" s="38" t="s">
        <v>7</v>
      </c>
      <c r="L31" s="20">
        <f t="shared" si="2"/>
        <v>11.04381357557431</v>
      </c>
      <c r="M31" s="20">
        <f t="shared" si="2"/>
        <v>542.45311176595681</v>
      </c>
    </row>
    <row r="32" spans="1:13" x14ac:dyDescent="0.25">
      <c r="A32" s="52"/>
      <c r="B32" s="21">
        <v>-0.90755114448200003</v>
      </c>
      <c r="C32" s="22">
        <v>1.580048740846</v>
      </c>
      <c r="D32" s="25">
        <f t="shared" si="7"/>
        <v>3.9765768895302571</v>
      </c>
      <c r="E32" s="26">
        <f t="shared" si="9"/>
        <v>0.90755114448200003</v>
      </c>
      <c r="F32" s="38" t="s">
        <v>10</v>
      </c>
      <c r="G32" s="21">
        <v>-0.90709300000000004</v>
      </c>
      <c r="H32" s="22">
        <v>1.58175</v>
      </c>
      <c r="I32" s="25">
        <f t="shared" si="8"/>
        <v>3.972299862291504</v>
      </c>
      <c r="J32" s="26">
        <f t="shared" si="10"/>
        <v>0.90709300000000004</v>
      </c>
      <c r="K32" s="38" t="s">
        <v>10</v>
      </c>
      <c r="L32" s="20">
        <f t="shared" si="2"/>
        <v>0.10767130848691329</v>
      </c>
      <c r="M32" s="20">
        <f t="shared" si="2"/>
        <v>5.0506892016583642E-2</v>
      </c>
    </row>
    <row r="33" spans="1:13" x14ac:dyDescent="0.25">
      <c r="A33" s="52"/>
      <c r="B33" s="21">
        <v>-0.90755114448200003</v>
      </c>
      <c r="C33" s="22">
        <v>-1.580048740846</v>
      </c>
      <c r="D33" s="25">
        <f t="shared" si="7"/>
        <v>3.9765768895302571</v>
      </c>
      <c r="E33" s="26">
        <f t="shared" si="9"/>
        <v>0.90755114448200003</v>
      </c>
      <c r="F33" s="38" t="s">
        <v>10</v>
      </c>
      <c r="G33" s="21">
        <v>-0.90709300000000004</v>
      </c>
      <c r="H33" s="22">
        <v>1.58175</v>
      </c>
      <c r="I33" s="25">
        <f t="shared" si="8"/>
        <v>3.972299862291504</v>
      </c>
      <c r="J33" s="26">
        <f t="shared" si="10"/>
        <v>0.90709300000000004</v>
      </c>
      <c r="K33" s="38" t="s">
        <v>10</v>
      </c>
      <c r="L33" s="20">
        <f t="shared" si="2"/>
        <v>0.10767130848691329</v>
      </c>
      <c r="M33" s="20">
        <f t="shared" si="2"/>
        <v>5.0506892016583642E-2</v>
      </c>
    </row>
    <row r="34" spans="1:13" x14ac:dyDescent="0.25">
      <c r="A34" s="52"/>
      <c r="B34" s="21">
        <v>-2.2463506069329999</v>
      </c>
      <c r="C34" s="22">
        <v>0</v>
      </c>
      <c r="D34" s="25">
        <f t="shared" si="7"/>
        <v>0</v>
      </c>
      <c r="E34" s="26">
        <f t="shared" si="9"/>
        <v>2.2463506069329999</v>
      </c>
      <c r="F34" s="38" t="s">
        <v>9</v>
      </c>
      <c r="G34" s="21">
        <v>-2.38951</v>
      </c>
      <c r="H34" s="22">
        <v>0</v>
      </c>
      <c r="I34" s="25">
        <f t="shared" si="8"/>
        <v>0</v>
      </c>
      <c r="J34" s="26">
        <f t="shared" si="10"/>
        <v>2.38951</v>
      </c>
      <c r="K34" s="38" t="s">
        <v>9</v>
      </c>
      <c r="L34" s="20" t="e">
        <f t="shared" si="2"/>
        <v>#DIV/0!</v>
      </c>
      <c r="M34" s="20">
        <f t="shared" si="2"/>
        <v>-5.9911610776686475</v>
      </c>
    </row>
    <row r="35" spans="1:13" x14ac:dyDescent="0.25">
      <c r="A35" s="52"/>
      <c r="B35" s="21">
        <v>-0.225171367516</v>
      </c>
      <c r="C35" s="22">
        <v>3.6223994508419999</v>
      </c>
      <c r="D35" s="25">
        <f t="shared" si="7"/>
        <v>1.7345368428981807</v>
      </c>
      <c r="E35" s="26">
        <f t="shared" si="9"/>
        <v>0.225171367516</v>
      </c>
      <c r="F35" s="38" t="s">
        <v>8</v>
      </c>
      <c r="G35" s="21">
        <v>-0.13963</v>
      </c>
      <c r="H35" s="22">
        <v>3.5178099999999999</v>
      </c>
      <c r="I35" s="25">
        <f t="shared" si="8"/>
        <v>1.7861070686533913</v>
      </c>
      <c r="J35" s="26">
        <f t="shared" si="10"/>
        <v>0.13963</v>
      </c>
      <c r="K35" s="38" t="s">
        <v>8</v>
      </c>
      <c r="L35" s="20">
        <f t="shared" si="2"/>
        <v>-2.8872975568083521</v>
      </c>
      <c r="M35" s="20">
        <f t="shared" si="2"/>
        <v>61.262885852610474</v>
      </c>
    </row>
    <row r="36" spans="1:13" x14ac:dyDescent="0.25">
      <c r="A36" s="53"/>
      <c r="B36" s="23">
        <v>-0.225171367516</v>
      </c>
      <c r="C36" s="24">
        <v>-3.6223994508419999</v>
      </c>
      <c r="D36" s="27">
        <f t="shared" si="7"/>
        <v>1.7345368428981807</v>
      </c>
      <c r="E36" s="28">
        <f t="shared" si="9"/>
        <v>0.225171367516</v>
      </c>
      <c r="F36" s="39" t="s">
        <v>8</v>
      </c>
      <c r="G36" s="23">
        <v>-0.13963</v>
      </c>
      <c r="H36" s="24">
        <v>-3.5178099999999999</v>
      </c>
      <c r="I36" s="27">
        <f t="shared" si="8"/>
        <v>1.7861070686533913</v>
      </c>
      <c r="J36" s="28">
        <f t="shared" si="10"/>
        <v>0.13963</v>
      </c>
      <c r="K36" s="39" t="s">
        <v>8</v>
      </c>
      <c r="L36" s="20">
        <f t="shared" si="2"/>
        <v>-2.8872975568083521</v>
      </c>
      <c r="M36" s="20">
        <f t="shared" si="2"/>
        <v>61.262885852610474</v>
      </c>
    </row>
    <row r="37" spans="1:13" x14ac:dyDescent="0.25"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3" x14ac:dyDescent="0.25"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3" x14ac:dyDescent="0.25">
      <c r="A39" s="1"/>
      <c r="B39" s="49" t="s">
        <v>15</v>
      </c>
      <c r="C39" s="49"/>
      <c r="D39" s="49"/>
      <c r="E39" s="49"/>
      <c r="F39" s="49"/>
      <c r="G39" s="49"/>
      <c r="H39" s="49"/>
      <c r="I39" s="49"/>
      <c r="J39" s="49"/>
      <c r="K39" s="50"/>
      <c r="L39" t="s">
        <v>16</v>
      </c>
      <c r="M39" t="s">
        <v>17</v>
      </c>
    </row>
    <row r="40" spans="1:13" x14ac:dyDescent="0.25">
      <c r="A40" s="51" t="s">
        <v>11</v>
      </c>
      <c r="B40" s="54" t="s">
        <v>4</v>
      </c>
      <c r="C40" s="54"/>
      <c r="D40" s="54"/>
      <c r="E40" s="54"/>
      <c r="F40" s="18"/>
      <c r="G40" s="54" t="s">
        <v>5</v>
      </c>
      <c r="H40" s="54"/>
      <c r="I40" s="54"/>
      <c r="J40" s="54"/>
      <c r="K40" s="37"/>
    </row>
    <row r="41" spans="1:13" x14ac:dyDescent="0.25">
      <c r="A41" s="52"/>
      <c r="B41" s="55"/>
      <c r="C41" s="55"/>
      <c r="D41" s="55"/>
      <c r="E41" s="55"/>
      <c r="F41" s="20" t="s">
        <v>6</v>
      </c>
      <c r="G41" s="55"/>
      <c r="H41" s="55"/>
      <c r="I41" s="55"/>
      <c r="J41" s="55"/>
      <c r="K41" s="38" t="s">
        <v>6</v>
      </c>
    </row>
    <row r="42" spans="1:13" x14ac:dyDescent="0.25">
      <c r="A42" s="52"/>
      <c r="B42" s="40" t="s">
        <v>0</v>
      </c>
      <c r="C42" s="41"/>
      <c r="D42" s="41" t="s">
        <v>1</v>
      </c>
      <c r="E42" s="41" t="s">
        <v>2</v>
      </c>
      <c r="F42" s="41"/>
      <c r="G42" s="41" t="s">
        <v>0</v>
      </c>
      <c r="H42" s="41"/>
      <c r="I42" s="41" t="s">
        <v>1</v>
      </c>
      <c r="J42" s="41" t="s">
        <v>2</v>
      </c>
      <c r="K42" s="42"/>
    </row>
    <row r="43" spans="1:13" x14ac:dyDescent="0.25">
      <c r="A43" s="52"/>
      <c r="B43" s="20">
        <v>0</v>
      </c>
      <c r="C43" s="20">
        <v>0</v>
      </c>
      <c r="D43" s="20">
        <f>IF(C43&lt;&gt;0,2*PI()/ABS(C43),0)</f>
        <v>0</v>
      </c>
      <c r="E43" s="20">
        <v>0</v>
      </c>
      <c r="F43" s="37"/>
      <c r="G43" s="20"/>
      <c r="H43" s="20"/>
      <c r="I43" s="20">
        <f>IF(H43&lt;&gt;0,2*PI()/ABS(H43),0)</f>
        <v>0</v>
      </c>
      <c r="J43" s="20">
        <v>0</v>
      </c>
      <c r="K43" s="38"/>
      <c r="L43" s="20"/>
      <c r="M43" s="20"/>
    </row>
    <row r="44" spans="1:13" x14ac:dyDescent="0.25">
      <c r="A44" s="52"/>
      <c r="B44" s="20">
        <v>0</v>
      </c>
      <c r="C44" s="20">
        <v>0</v>
      </c>
      <c r="D44" s="20">
        <f t="shared" ref="D44:D54" si="11">IF(C44&lt;&gt;0,2*PI()/ABS(C44),0)</f>
        <v>0</v>
      </c>
      <c r="E44" s="20">
        <v>0</v>
      </c>
      <c r="F44" s="38"/>
      <c r="G44" s="20"/>
      <c r="H44" s="20"/>
      <c r="I44" s="20">
        <f t="shared" ref="I44:I54" si="12">IF(H44&lt;&gt;0,2*PI()/ABS(H44),0)</f>
        <v>0</v>
      </c>
      <c r="J44" s="20">
        <v>0</v>
      </c>
      <c r="K44" s="38"/>
      <c r="L44" s="20"/>
      <c r="M44" s="20"/>
    </row>
    <row r="45" spans="1:13" x14ac:dyDescent="0.25">
      <c r="A45" s="52"/>
      <c r="B45" s="20">
        <v>0</v>
      </c>
      <c r="C45" s="20">
        <v>0</v>
      </c>
      <c r="D45" s="20">
        <f t="shared" si="11"/>
        <v>0</v>
      </c>
      <c r="E45" s="20">
        <v>0</v>
      </c>
      <c r="F45" s="38"/>
      <c r="G45" s="20"/>
      <c r="H45" s="20"/>
      <c r="I45" s="20">
        <f t="shared" si="12"/>
        <v>0</v>
      </c>
      <c r="J45" s="20">
        <v>0</v>
      </c>
      <c r="K45" s="38"/>
      <c r="L45" s="20"/>
      <c r="M45" s="20"/>
    </row>
    <row r="46" spans="1:13" x14ac:dyDescent="0.25">
      <c r="A46" s="52"/>
      <c r="B46" s="20">
        <v>0</v>
      </c>
      <c r="C46" s="20">
        <v>0</v>
      </c>
      <c r="D46" s="20">
        <f t="shared" si="11"/>
        <v>0</v>
      </c>
      <c r="E46" s="20">
        <v>0</v>
      </c>
      <c r="F46" s="38"/>
      <c r="G46" s="20"/>
      <c r="H46" s="20"/>
      <c r="I46" s="20">
        <f t="shared" si="12"/>
        <v>0</v>
      </c>
      <c r="J46" s="20">
        <v>0</v>
      </c>
      <c r="K46" s="38"/>
      <c r="L46" s="20"/>
      <c r="M46" s="20"/>
    </row>
    <row r="47" spans="1:13" x14ac:dyDescent="0.25">
      <c r="A47" s="52"/>
      <c r="B47" s="22">
        <v>-1.2187708374E-2</v>
      </c>
      <c r="C47" s="22">
        <v>0</v>
      </c>
      <c r="D47" s="25">
        <f t="shared" si="11"/>
        <v>0</v>
      </c>
      <c r="E47" s="26">
        <f>-B47</f>
        <v>1.2187708374E-2</v>
      </c>
      <c r="F47" s="38" t="s">
        <v>13</v>
      </c>
      <c r="G47" s="22">
        <v>5.4870500000000003E-3</v>
      </c>
      <c r="H47" s="22">
        <v>0</v>
      </c>
      <c r="I47" s="25">
        <f t="shared" si="12"/>
        <v>0</v>
      </c>
      <c r="J47" s="26">
        <f>-G47</f>
        <v>-5.4870500000000003E-3</v>
      </c>
      <c r="K47" s="38" t="s">
        <v>13</v>
      </c>
      <c r="L47" s="20" t="e">
        <f t="shared" si="2"/>
        <v>#DIV/0!</v>
      </c>
      <c r="M47" s="20">
        <f t="shared" si="2"/>
        <v>-322.11768389207316</v>
      </c>
    </row>
    <row r="48" spans="1:13" x14ac:dyDescent="0.25">
      <c r="A48" s="52"/>
      <c r="B48" s="22">
        <v>-2.5133867699999998E-3</v>
      </c>
      <c r="C48" s="22">
        <v>0.111645844292</v>
      </c>
      <c r="D48" s="25">
        <f t="shared" si="11"/>
        <v>56.27782518036642</v>
      </c>
      <c r="E48" s="26">
        <f>-B48</f>
        <v>2.5133867699999998E-3</v>
      </c>
      <c r="F48" s="38" t="s">
        <v>7</v>
      </c>
      <c r="G48" s="22">
        <v>5.66498E-3</v>
      </c>
      <c r="H48" s="22">
        <v>0.11629</v>
      </c>
      <c r="I48" s="25">
        <f t="shared" si="12"/>
        <v>54.03031479215398</v>
      </c>
      <c r="J48" s="26">
        <f>-G48</f>
        <v>-5.66498E-3</v>
      </c>
      <c r="K48" s="38" t="s">
        <v>7</v>
      </c>
      <c r="L48" s="20">
        <f t="shared" si="2"/>
        <v>4.1597210692890734</v>
      </c>
      <c r="M48" s="20">
        <f t="shared" si="2"/>
        <v>-144.36708991029096</v>
      </c>
    </row>
    <row r="49" spans="1:13" x14ac:dyDescent="0.25">
      <c r="A49" s="52"/>
      <c r="B49" s="22">
        <v>-2.5133867699999998E-3</v>
      </c>
      <c r="C49" s="22">
        <v>-0.111645844292</v>
      </c>
      <c r="D49" s="25">
        <f t="shared" si="11"/>
        <v>56.27782518036642</v>
      </c>
      <c r="E49" s="26">
        <f t="shared" ref="E49:E54" si="13">-B49</f>
        <v>2.5133867699999998E-3</v>
      </c>
      <c r="F49" s="38" t="s">
        <v>7</v>
      </c>
      <c r="G49" s="22">
        <v>5.66498E-3</v>
      </c>
      <c r="H49" s="22">
        <v>-0.11629</v>
      </c>
      <c r="I49" s="25">
        <f t="shared" si="12"/>
        <v>54.03031479215398</v>
      </c>
      <c r="J49" s="26">
        <f t="shared" ref="J49:J54" si="14">-G49</f>
        <v>-5.66498E-3</v>
      </c>
      <c r="K49" s="38" t="s">
        <v>7</v>
      </c>
      <c r="L49" s="20">
        <f t="shared" si="2"/>
        <v>4.1597210692890734</v>
      </c>
      <c r="M49" s="20">
        <f t="shared" si="2"/>
        <v>-144.36708991029096</v>
      </c>
    </row>
    <row r="50" spans="1:13" x14ac:dyDescent="0.25">
      <c r="A50" s="52"/>
      <c r="B50" s="22">
        <v>1.0332053825580001</v>
      </c>
      <c r="C50" s="22">
        <v>0</v>
      </c>
      <c r="D50" s="25">
        <f t="shared" si="11"/>
        <v>0</v>
      </c>
      <c r="E50" s="26">
        <f t="shared" si="13"/>
        <v>-1.0332053825580001</v>
      </c>
      <c r="F50" s="38" t="s">
        <v>10</v>
      </c>
      <c r="G50" s="22">
        <v>1.0280100000000001</v>
      </c>
      <c r="H50" s="22">
        <v>0</v>
      </c>
      <c r="I50" s="25">
        <f t="shared" si="12"/>
        <v>0</v>
      </c>
      <c r="J50" s="26">
        <f t="shared" si="14"/>
        <v>-1.0280100000000001</v>
      </c>
      <c r="K50" s="38" t="s">
        <v>10</v>
      </c>
      <c r="L50" s="20" t="e">
        <f t="shared" si="2"/>
        <v>#DIV/0!</v>
      </c>
      <c r="M50" s="20">
        <f t="shared" si="2"/>
        <v>0.50538249219365616</v>
      </c>
    </row>
    <row r="51" spans="1:13" x14ac:dyDescent="0.25">
      <c r="A51" s="52"/>
      <c r="B51" s="22">
        <v>-2.7554536938909999</v>
      </c>
      <c r="C51" s="22">
        <v>0</v>
      </c>
      <c r="D51" s="25">
        <f t="shared" si="11"/>
        <v>0</v>
      </c>
      <c r="E51" s="26">
        <f t="shared" ref="E51:E52" si="15">-B51</f>
        <v>2.7554536938909999</v>
      </c>
      <c r="F51" s="38" t="s">
        <v>10</v>
      </c>
      <c r="G51" s="22">
        <v>-2.7517499999999999</v>
      </c>
      <c r="H51" s="22">
        <v>0</v>
      </c>
      <c r="I51" s="25">
        <f t="shared" si="12"/>
        <v>0</v>
      </c>
      <c r="J51" s="26">
        <f t="shared" ref="J51:J52" si="16">-G51</f>
        <v>2.7517499999999999</v>
      </c>
      <c r="K51" s="38" t="s">
        <v>10</v>
      </c>
      <c r="L51" s="20" t="e">
        <f t="shared" si="2"/>
        <v>#DIV/0!</v>
      </c>
      <c r="M51" s="20">
        <f t="shared" si="2"/>
        <v>0.13459412704642515</v>
      </c>
    </row>
    <row r="52" spans="1:13" x14ac:dyDescent="0.25">
      <c r="A52" s="52"/>
      <c r="B52" s="22">
        <v>-2.131335745915</v>
      </c>
      <c r="C52" s="22">
        <v>0</v>
      </c>
      <c r="D52" s="25">
        <f t="shared" si="11"/>
        <v>0</v>
      </c>
      <c r="E52" s="26">
        <f t="shared" si="15"/>
        <v>2.131335745915</v>
      </c>
      <c r="F52" s="38" t="s">
        <v>9</v>
      </c>
      <c r="G52" s="22">
        <v>-2.4210699999999998</v>
      </c>
      <c r="H52" s="22">
        <v>0</v>
      </c>
      <c r="I52" s="25">
        <f t="shared" si="12"/>
        <v>0</v>
      </c>
      <c r="J52" s="26">
        <f t="shared" si="16"/>
        <v>2.4210699999999998</v>
      </c>
      <c r="K52" s="38" t="s">
        <v>9</v>
      </c>
      <c r="L52" s="20" t="e">
        <f t="shared" si="2"/>
        <v>#DIV/0!</v>
      </c>
      <c r="M52" s="20">
        <f t="shared" si="2"/>
        <v>-11.967198556216875</v>
      </c>
    </row>
    <row r="53" spans="1:13" x14ac:dyDescent="0.25">
      <c r="A53" s="52"/>
      <c r="B53" s="22">
        <v>-0.27681220327200001</v>
      </c>
      <c r="C53" s="22">
        <v>3.5671185210090002</v>
      </c>
      <c r="D53" s="25">
        <f t="shared" si="11"/>
        <v>1.7614175896242201</v>
      </c>
      <c r="E53" s="26">
        <f t="shared" si="13"/>
        <v>0.27681220327200001</v>
      </c>
      <c r="F53" s="38" t="s">
        <v>8</v>
      </c>
      <c r="G53" s="22">
        <v>-9.0268000000000001E-2</v>
      </c>
      <c r="H53" s="22">
        <v>3.3538399999999999</v>
      </c>
      <c r="I53" s="25">
        <f t="shared" si="12"/>
        <v>1.8734302492604258</v>
      </c>
      <c r="J53" s="26">
        <f t="shared" si="14"/>
        <v>9.0268000000000001E-2</v>
      </c>
      <c r="K53" s="38" t="s">
        <v>8</v>
      </c>
      <c r="L53" s="20">
        <f t="shared" si="2"/>
        <v>-5.9790141469331406</v>
      </c>
      <c r="M53" s="20">
        <f t="shared" si="2"/>
        <v>206.65596143926973</v>
      </c>
    </row>
    <row r="54" spans="1:13" x14ac:dyDescent="0.25">
      <c r="A54" s="53"/>
      <c r="B54" s="24">
        <v>-0.27681220327200001</v>
      </c>
      <c r="C54" s="24">
        <v>-3.5671185210090002</v>
      </c>
      <c r="D54" s="27">
        <f t="shared" si="11"/>
        <v>1.7614175896242201</v>
      </c>
      <c r="E54" s="28">
        <f t="shared" si="13"/>
        <v>0.27681220327200001</v>
      </c>
      <c r="F54" s="39" t="s">
        <v>8</v>
      </c>
      <c r="G54" s="24">
        <v>-9.0268000000000001E-2</v>
      </c>
      <c r="H54" s="24">
        <v>-3.3538399999999999</v>
      </c>
      <c r="I54" s="27">
        <f t="shared" si="12"/>
        <v>1.8734302492604258</v>
      </c>
      <c r="J54" s="28">
        <f t="shared" si="14"/>
        <v>9.0268000000000001E-2</v>
      </c>
      <c r="K54" s="39" t="s">
        <v>8</v>
      </c>
      <c r="L54" s="20">
        <f t="shared" si="2"/>
        <v>-5.9790141469331406</v>
      </c>
      <c r="M54" s="20">
        <f t="shared" si="2"/>
        <v>206.65596143926973</v>
      </c>
    </row>
    <row r="55" spans="1:13" x14ac:dyDescent="0.25">
      <c r="A55" s="11"/>
      <c r="B55" s="20"/>
      <c r="C55" s="20"/>
      <c r="D55" s="20"/>
      <c r="E55" s="20"/>
      <c r="F55" s="20"/>
      <c r="G55" s="20"/>
      <c r="H55" s="20"/>
      <c r="I55" s="20"/>
      <c r="J55" s="20"/>
      <c r="K55" s="38"/>
    </row>
    <row r="56" spans="1:13" x14ac:dyDescent="0.25">
      <c r="A56" s="11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3" x14ac:dyDescent="0.25">
      <c r="A57" s="11"/>
      <c r="B57" s="20"/>
      <c r="C57" s="20"/>
      <c r="D57" s="20"/>
      <c r="E57" s="20"/>
      <c r="F57" s="20"/>
      <c r="G57" s="20"/>
      <c r="H57" s="20"/>
      <c r="I57" s="20"/>
      <c r="J57" s="20"/>
      <c r="K57" s="38"/>
    </row>
    <row r="58" spans="1:13" x14ac:dyDescent="0.25">
      <c r="A58" s="11"/>
      <c r="B58" s="20"/>
      <c r="C58" s="20"/>
      <c r="D58" s="20"/>
      <c r="E58" s="20"/>
      <c r="F58" s="20"/>
      <c r="G58" s="20"/>
      <c r="H58" s="20"/>
      <c r="I58" s="20"/>
      <c r="J58" s="20"/>
      <c r="K58" s="38"/>
    </row>
    <row r="59" spans="1:13" x14ac:dyDescent="0.25">
      <c r="A59" s="51" t="s">
        <v>12</v>
      </c>
      <c r="B59" s="56" t="s">
        <v>4</v>
      </c>
      <c r="C59" s="54"/>
      <c r="D59" s="54"/>
      <c r="E59" s="54"/>
      <c r="F59" s="18"/>
      <c r="G59" s="54" t="s">
        <v>5</v>
      </c>
      <c r="H59" s="54"/>
      <c r="I59" s="54"/>
      <c r="J59" s="54"/>
      <c r="K59" s="37"/>
      <c r="L59" t="s">
        <v>16</v>
      </c>
      <c r="M59" t="s">
        <v>17</v>
      </c>
    </row>
    <row r="60" spans="1:13" x14ac:dyDescent="0.25">
      <c r="A60" s="52"/>
      <c r="B60" s="57"/>
      <c r="C60" s="55"/>
      <c r="D60" s="55"/>
      <c r="E60" s="55"/>
      <c r="F60" s="20" t="s">
        <v>6</v>
      </c>
      <c r="G60" s="55"/>
      <c r="H60" s="55"/>
      <c r="I60" s="55"/>
      <c r="J60" s="55"/>
      <c r="K60" s="38" t="s">
        <v>6</v>
      </c>
    </row>
    <row r="61" spans="1:13" x14ac:dyDescent="0.25">
      <c r="A61" s="52"/>
      <c r="B61" s="17" t="s">
        <v>0</v>
      </c>
      <c r="C61" s="18"/>
      <c r="D61" s="41" t="s">
        <v>1</v>
      </c>
      <c r="E61" s="18" t="s">
        <v>2</v>
      </c>
      <c r="F61" s="37"/>
      <c r="G61" s="17" t="s">
        <v>0</v>
      </c>
      <c r="H61" s="18"/>
      <c r="I61" s="41" t="s">
        <v>1</v>
      </c>
      <c r="J61" s="18" t="s">
        <v>2</v>
      </c>
      <c r="K61" s="37"/>
    </row>
    <row r="62" spans="1:13" x14ac:dyDescent="0.25">
      <c r="A62" s="52"/>
      <c r="B62" s="17">
        <v>0</v>
      </c>
      <c r="C62" s="18">
        <v>0</v>
      </c>
      <c r="D62" s="20">
        <f>IF(C62&lt;&gt;0,2*PI()/ABS(C62),0)</f>
        <v>0</v>
      </c>
      <c r="E62" s="18">
        <v>0</v>
      </c>
      <c r="F62" s="37"/>
      <c r="G62" s="17"/>
      <c r="H62" s="18"/>
      <c r="I62" s="20">
        <f>IF(H62&lt;&gt;0,2*PI()/ABS(H62),0)</f>
        <v>0</v>
      </c>
      <c r="J62" s="18">
        <v>0</v>
      </c>
      <c r="K62" s="37"/>
      <c r="L62" s="20"/>
      <c r="M62" s="20"/>
    </row>
    <row r="63" spans="1:13" x14ac:dyDescent="0.25">
      <c r="A63" s="52"/>
      <c r="B63" s="19">
        <v>0</v>
      </c>
      <c r="C63" s="20">
        <v>0</v>
      </c>
      <c r="D63" s="20">
        <f t="shared" ref="D63:D73" si="17">IF(C63&lt;&gt;0,2*PI()/ABS(C63),0)</f>
        <v>0</v>
      </c>
      <c r="E63" s="20">
        <v>0</v>
      </c>
      <c r="F63" s="38"/>
      <c r="G63" s="19"/>
      <c r="H63" s="20"/>
      <c r="I63" s="20">
        <f t="shared" ref="I63:I73" si="18">IF(H63&lt;&gt;0,2*PI()/ABS(H63),0)</f>
        <v>0</v>
      </c>
      <c r="J63" s="20">
        <v>0</v>
      </c>
      <c r="K63" s="38"/>
      <c r="L63" s="20"/>
      <c r="M63" s="20"/>
    </row>
    <row r="64" spans="1:13" x14ac:dyDescent="0.25">
      <c r="A64" s="52"/>
      <c r="B64" s="19">
        <v>0</v>
      </c>
      <c r="C64" s="20">
        <v>0</v>
      </c>
      <c r="D64" s="20">
        <f t="shared" si="17"/>
        <v>0</v>
      </c>
      <c r="E64" s="20">
        <v>0</v>
      </c>
      <c r="F64" s="38"/>
      <c r="G64" s="19"/>
      <c r="H64" s="20"/>
      <c r="I64" s="20">
        <f t="shared" si="18"/>
        <v>0</v>
      </c>
      <c r="J64" s="20">
        <v>0</v>
      </c>
      <c r="K64" s="38"/>
      <c r="L64" s="20"/>
      <c r="M64" s="20"/>
    </row>
    <row r="65" spans="1:13" x14ac:dyDescent="0.25">
      <c r="A65" s="52"/>
      <c r="B65" s="19">
        <v>0</v>
      </c>
      <c r="C65" s="20">
        <v>0</v>
      </c>
      <c r="D65" s="20">
        <f t="shared" si="17"/>
        <v>0</v>
      </c>
      <c r="E65" s="20">
        <v>0</v>
      </c>
      <c r="F65" s="38"/>
      <c r="G65" s="19"/>
      <c r="H65" s="20"/>
      <c r="I65" s="20">
        <f t="shared" si="18"/>
        <v>0</v>
      </c>
      <c r="J65" s="20">
        <v>0</v>
      </c>
      <c r="K65" s="38"/>
      <c r="L65" s="20"/>
      <c r="M65" s="20"/>
    </row>
    <row r="66" spans="1:13" x14ac:dyDescent="0.25">
      <c r="A66" s="52"/>
      <c r="B66" s="21">
        <v>-1.2120192303E-2</v>
      </c>
      <c r="C66" s="22">
        <v>0</v>
      </c>
      <c r="D66" s="25">
        <f t="shared" si="17"/>
        <v>0</v>
      </c>
      <c r="E66" s="26">
        <f>-B66</f>
        <v>1.2120192303E-2</v>
      </c>
      <c r="F66" s="38" t="s">
        <v>13</v>
      </c>
      <c r="G66" s="22">
        <v>3.0659099999999998E-3</v>
      </c>
      <c r="H66" s="22">
        <v>0</v>
      </c>
      <c r="I66" s="25">
        <f t="shared" si="18"/>
        <v>0</v>
      </c>
      <c r="J66" s="26">
        <f>-G66</f>
        <v>-3.0659099999999998E-3</v>
      </c>
      <c r="K66" s="38" t="s">
        <v>13</v>
      </c>
      <c r="L66" s="20" t="e">
        <f t="shared" si="2"/>
        <v>#DIV/0!</v>
      </c>
      <c r="M66" s="20">
        <f t="shared" si="2"/>
        <v>-495.32120326428372</v>
      </c>
    </row>
    <row r="67" spans="1:13" x14ac:dyDescent="0.25">
      <c r="A67" s="52"/>
      <c r="B67" s="21">
        <v>6.4489023000000002E-4</v>
      </c>
      <c r="C67" s="22">
        <v>0.109808738184</v>
      </c>
      <c r="D67" s="25">
        <f t="shared" si="17"/>
        <v>57.219356228747706</v>
      </c>
      <c r="E67" s="26">
        <f>-B67</f>
        <v>-6.4489023000000002E-4</v>
      </c>
      <c r="F67" s="38" t="s">
        <v>7</v>
      </c>
      <c r="G67" s="22">
        <v>7.57357E-3</v>
      </c>
      <c r="H67" s="22">
        <v>0.115977</v>
      </c>
      <c r="I67" s="25">
        <f t="shared" si="18"/>
        <v>54.176132398489237</v>
      </c>
      <c r="J67" s="26">
        <f>-G67</f>
        <v>-7.57357E-3</v>
      </c>
      <c r="K67" s="38" t="s">
        <v>7</v>
      </c>
      <c r="L67" s="20">
        <f t="shared" si="2"/>
        <v>5.6172777485742653</v>
      </c>
      <c r="M67" s="20">
        <f t="shared" si="2"/>
        <v>-91.484990169761417</v>
      </c>
    </row>
    <row r="68" spans="1:13" x14ac:dyDescent="0.25">
      <c r="A68" s="52"/>
      <c r="B68" s="21">
        <v>6.4489023000000002E-4</v>
      </c>
      <c r="C68" s="22">
        <v>-0.109808738184</v>
      </c>
      <c r="D68" s="25">
        <f t="shared" si="17"/>
        <v>57.219356228747706</v>
      </c>
      <c r="E68" s="26">
        <f t="shared" ref="E68:E73" si="19">-B68</f>
        <v>-6.4489023000000002E-4</v>
      </c>
      <c r="F68" s="38" t="s">
        <v>7</v>
      </c>
      <c r="G68" s="22">
        <v>7.57357E-3</v>
      </c>
      <c r="H68" s="22">
        <v>-0.115977</v>
      </c>
      <c r="I68" s="25">
        <f t="shared" si="18"/>
        <v>54.176132398489237</v>
      </c>
      <c r="J68" s="26">
        <f t="shared" ref="J68:J73" si="20">-G68</f>
        <v>-7.57357E-3</v>
      </c>
      <c r="K68" s="38" t="s">
        <v>7</v>
      </c>
      <c r="L68" s="20">
        <f t="shared" si="2"/>
        <v>5.6172777485742653</v>
      </c>
      <c r="M68" s="20">
        <f t="shared" si="2"/>
        <v>-91.484990169761417</v>
      </c>
    </row>
    <row r="69" spans="1:13" x14ac:dyDescent="0.25">
      <c r="A69" s="52"/>
      <c r="B69" s="21">
        <v>-0.88578392044400001</v>
      </c>
      <c r="C69" s="22">
        <v>1.488599618694</v>
      </c>
      <c r="D69" s="25">
        <f t="shared" si="17"/>
        <v>4.2208698889040708</v>
      </c>
      <c r="E69" s="26">
        <f t="shared" si="19"/>
        <v>0.88578392044400001</v>
      </c>
      <c r="F69" s="38" t="s">
        <v>10</v>
      </c>
      <c r="G69" s="22">
        <v>-0.88274399999999997</v>
      </c>
      <c r="H69" s="22">
        <v>1.4918800000000001</v>
      </c>
      <c r="I69" s="25">
        <f t="shared" si="18"/>
        <v>4.2115889395793129</v>
      </c>
      <c r="J69" s="26">
        <f t="shared" si="20"/>
        <v>0.88274399999999997</v>
      </c>
      <c r="K69" s="38" t="s">
        <v>10</v>
      </c>
      <c r="L69" s="20">
        <f t="shared" si="2"/>
        <v>0.2203669317662546</v>
      </c>
      <c r="M69" s="20">
        <f t="shared" si="2"/>
        <v>0.34437169145301844</v>
      </c>
    </row>
    <row r="70" spans="1:13" x14ac:dyDescent="0.25">
      <c r="A70" s="52"/>
      <c r="B70" s="21">
        <v>-0.88578392044400001</v>
      </c>
      <c r="C70" s="22">
        <v>-1.488599618694</v>
      </c>
      <c r="D70" s="25">
        <f t="shared" si="17"/>
        <v>4.2208698889040708</v>
      </c>
      <c r="E70" s="26">
        <f t="shared" si="19"/>
        <v>0.88578392044400001</v>
      </c>
      <c r="F70" s="38" t="s">
        <v>10</v>
      </c>
      <c r="G70" s="22">
        <v>-0.88274399999999997</v>
      </c>
      <c r="H70" s="22">
        <v>-1.4918800000000001</v>
      </c>
      <c r="I70" s="25">
        <f t="shared" si="18"/>
        <v>4.2115889395793129</v>
      </c>
      <c r="J70" s="26">
        <f t="shared" si="20"/>
        <v>0.88274399999999997</v>
      </c>
      <c r="K70" s="38" t="s">
        <v>10</v>
      </c>
      <c r="L70" s="20">
        <f t="shared" si="2"/>
        <v>0.2203669317662546</v>
      </c>
      <c r="M70" s="20">
        <f t="shared" si="2"/>
        <v>0.34437169145301844</v>
      </c>
    </row>
    <row r="71" spans="1:13" x14ac:dyDescent="0.25">
      <c r="A71" s="52"/>
      <c r="B71" s="21">
        <v>-2.1216204854140002</v>
      </c>
      <c r="C71" s="22">
        <v>0</v>
      </c>
      <c r="D71" s="25">
        <f t="shared" si="17"/>
        <v>0</v>
      </c>
      <c r="E71" s="26">
        <f t="shared" si="19"/>
        <v>2.1216204854140002</v>
      </c>
      <c r="F71" s="38" t="s">
        <v>9</v>
      </c>
      <c r="G71" s="22">
        <v>-2.40415</v>
      </c>
      <c r="H71" s="22">
        <v>0</v>
      </c>
      <c r="I71" s="25">
        <f t="shared" si="18"/>
        <v>0</v>
      </c>
      <c r="J71" s="26">
        <f t="shared" si="20"/>
        <v>2.40415</v>
      </c>
      <c r="K71" s="38" t="s">
        <v>9</v>
      </c>
      <c r="L71" s="20" t="e">
        <f t="shared" ref="L71:M73" si="21">100*((D71-I71)/I71)</f>
        <v>#DIV/0!</v>
      </c>
      <c r="M71" s="20">
        <f t="shared" si="21"/>
        <v>-11.751742386539934</v>
      </c>
    </row>
    <row r="72" spans="1:13" x14ac:dyDescent="0.25">
      <c r="A72" s="52"/>
      <c r="B72" s="21">
        <v>-0.28925938631199999</v>
      </c>
      <c r="C72" s="22">
        <v>3.7821941600970002</v>
      </c>
      <c r="D72" s="25">
        <f t="shared" si="17"/>
        <v>1.6612540343561961</v>
      </c>
      <c r="E72" s="26">
        <f t="shared" si="19"/>
        <v>0.28925938631199999</v>
      </c>
      <c r="F72" s="38" t="s">
        <v>8</v>
      </c>
      <c r="G72" s="22">
        <v>-0.10004</v>
      </c>
      <c r="H72" s="22">
        <v>3.55958</v>
      </c>
      <c r="I72" s="25">
        <f t="shared" si="18"/>
        <v>1.7651479408187445</v>
      </c>
      <c r="J72" s="26">
        <f t="shared" si="20"/>
        <v>0.10004</v>
      </c>
      <c r="K72" s="38" t="s">
        <v>8</v>
      </c>
      <c r="L72" s="20">
        <f t="shared" si="21"/>
        <v>-5.885846962740036</v>
      </c>
      <c r="M72" s="20">
        <f t="shared" si="21"/>
        <v>189.14372882047178</v>
      </c>
    </row>
    <row r="73" spans="1:13" x14ac:dyDescent="0.25">
      <c r="A73" s="53"/>
      <c r="B73" s="23">
        <v>-0.28925938631199999</v>
      </c>
      <c r="C73" s="24">
        <v>-3.7821941600970002</v>
      </c>
      <c r="D73" s="27">
        <f t="shared" si="17"/>
        <v>1.6612540343561961</v>
      </c>
      <c r="E73" s="28">
        <f t="shared" si="19"/>
        <v>0.28925938631199999</v>
      </c>
      <c r="F73" s="39" t="s">
        <v>8</v>
      </c>
      <c r="G73" s="24">
        <v>-0.10004</v>
      </c>
      <c r="H73" s="24">
        <v>-3.55958</v>
      </c>
      <c r="I73" s="27">
        <f t="shared" si="18"/>
        <v>1.7651479408187445</v>
      </c>
      <c r="J73" s="28">
        <f t="shared" si="20"/>
        <v>0.10004</v>
      </c>
      <c r="K73" s="39" t="s">
        <v>8</v>
      </c>
      <c r="L73" s="20">
        <f t="shared" si="21"/>
        <v>-5.885846962740036</v>
      </c>
      <c r="M73" s="20">
        <f t="shared" si="21"/>
        <v>189.14372882047178</v>
      </c>
    </row>
  </sheetData>
  <mergeCells count="15">
    <mergeCell ref="A22:A36"/>
    <mergeCell ref="B22:E23"/>
    <mergeCell ref="G22:J23"/>
    <mergeCell ref="A1:K1"/>
    <mergeCell ref="B2:K2"/>
    <mergeCell ref="A3:A17"/>
    <mergeCell ref="B3:E4"/>
    <mergeCell ref="G3:J4"/>
    <mergeCell ref="B39:K39"/>
    <mergeCell ref="A40:A54"/>
    <mergeCell ref="B40:E41"/>
    <mergeCell ref="G40:J41"/>
    <mergeCell ref="A59:A73"/>
    <mergeCell ref="B59:E60"/>
    <mergeCell ref="G59:J6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9168-5A0D-4F25-8CE9-7FEB95B38E1D}">
  <dimension ref="A1:R79"/>
  <sheetViews>
    <sheetView topLeftCell="A22" zoomScale="140" zoomScaleNormal="140" workbookViewId="0">
      <selection activeCell="C16" sqref="C16:C17"/>
    </sheetView>
  </sheetViews>
  <sheetFormatPr defaultRowHeight="15" x14ac:dyDescent="0.25"/>
  <cols>
    <col min="1" max="2" width="11.5703125" bestFit="1" customWidth="1"/>
    <col min="3" max="3" width="15.28515625" bestFit="1" customWidth="1"/>
    <col min="4" max="4" width="12.5703125" bestFit="1" customWidth="1"/>
    <col min="5" max="5" width="11.28515625" bestFit="1" customWidth="1"/>
    <col min="6" max="6" width="10" bestFit="1" customWidth="1"/>
    <col min="7" max="8" width="15.42578125" bestFit="1" customWidth="1"/>
    <col min="9" max="9" width="12.5703125" bestFit="1" customWidth="1"/>
    <col min="10" max="10" width="11.7109375" bestFit="1" customWidth="1"/>
    <col min="11" max="11" width="10" bestFit="1" customWidth="1"/>
    <col min="12" max="12" width="12.140625" bestFit="1" customWidth="1"/>
    <col min="13" max="13" width="14.28515625" bestFit="1" customWidth="1"/>
  </cols>
  <sheetData>
    <row r="1" spans="1:18" x14ac:dyDescent="0.25">
      <c r="A1" s="58" t="s">
        <v>19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8" x14ac:dyDescent="0.25">
      <c r="A2" s="1"/>
      <c r="B2" s="59" t="s">
        <v>14</v>
      </c>
      <c r="C2" s="59"/>
      <c r="D2" s="59"/>
      <c r="E2" s="59"/>
      <c r="F2" s="59"/>
      <c r="G2" s="59"/>
      <c r="H2" s="59"/>
      <c r="I2" s="59"/>
      <c r="J2" s="59"/>
      <c r="K2" s="60"/>
    </row>
    <row r="3" spans="1:18" x14ac:dyDescent="0.25">
      <c r="A3" s="51" t="s">
        <v>11</v>
      </c>
      <c r="B3" s="61" t="s">
        <v>4</v>
      </c>
      <c r="C3" s="61"/>
      <c r="D3" s="61"/>
      <c r="E3" s="61"/>
      <c r="F3" s="2"/>
      <c r="G3" s="61" t="s">
        <v>5</v>
      </c>
      <c r="H3" s="61"/>
      <c r="I3" s="61"/>
      <c r="J3" s="61"/>
      <c r="K3" s="3"/>
      <c r="L3" t="s">
        <v>16</v>
      </c>
      <c r="M3" t="s">
        <v>17</v>
      </c>
    </row>
    <row r="4" spans="1:18" x14ac:dyDescent="0.25">
      <c r="A4" s="52"/>
      <c r="B4" s="47"/>
      <c r="C4" s="47"/>
      <c r="D4" s="47"/>
      <c r="E4" s="47"/>
      <c r="F4" t="s">
        <v>6</v>
      </c>
      <c r="G4" s="47"/>
      <c r="H4" s="47"/>
      <c r="I4" s="47"/>
      <c r="J4" s="47"/>
      <c r="K4" s="6" t="s">
        <v>6</v>
      </c>
    </row>
    <row r="5" spans="1:18" x14ac:dyDescent="0.25">
      <c r="A5" s="52"/>
      <c r="B5" s="14" t="s">
        <v>0</v>
      </c>
      <c r="C5" s="15"/>
      <c r="D5" s="15" t="s">
        <v>1</v>
      </c>
      <c r="E5" s="15" t="s">
        <v>2</v>
      </c>
      <c r="F5" s="15"/>
      <c r="G5" s="2" t="s">
        <v>0</v>
      </c>
      <c r="H5" s="2"/>
      <c r="I5" s="2" t="s">
        <v>1</v>
      </c>
      <c r="J5" s="3" t="s">
        <v>2</v>
      </c>
      <c r="K5" s="6"/>
    </row>
    <row r="6" spans="1:18" x14ac:dyDescent="0.25">
      <c r="A6" s="52"/>
      <c r="B6" s="17">
        <v>0</v>
      </c>
      <c r="C6" s="18">
        <v>0</v>
      </c>
      <c r="D6" s="20">
        <f t="shared" ref="D6:D9" si="0">IF(C6&lt;&gt;0,2*PI()/ABS(C6),0)</f>
        <v>0</v>
      </c>
      <c r="E6" s="18">
        <v>0</v>
      </c>
      <c r="F6" s="37"/>
      <c r="G6" s="17"/>
      <c r="H6" s="18"/>
      <c r="I6" s="20">
        <f t="shared" ref="I6:I9" si="1">IF(H6&lt;&gt;0,2*PI()/ABS(H6),0)</f>
        <v>0</v>
      </c>
      <c r="J6" s="18">
        <v>0</v>
      </c>
      <c r="K6" s="37"/>
      <c r="L6" s="20"/>
      <c r="M6" s="20"/>
    </row>
    <row r="7" spans="1:18" x14ac:dyDescent="0.25">
      <c r="A7" s="52"/>
      <c r="B7" s="19">
        <v>0</v>
      </c>
      <c r="C7" s="20">
        <v>0</v>
      </c>
      <c r="D7" s="20">
        <f t="shared" si="0"/>
        <v>0</v>
      </c>
      <c r="E7" s="20">
        <v>0</v>
      </c>
      <c r="F7" s="38"/>
      <c r="G7" s="19"/>
      <c r="H7" s="20"/>
      <c r="I7" s="20">
        <f t="shared" si="1"/>
        <v>0</v>
      </c>
      <c r="J7" s="20">
        <v>0</v>
      </c>
      <c r="K7" s="38"/>
      <c r="L7" s="20"/>
      <c r="M7" s="20"/>
    </row>
    <row r="8" spans="1:18" x14ac:dyDescent="0.25">
      <c r="A8" s="52"/>
      <c r="B8" s="19">
        <v>0</v>
      </c>
      <c r="C8" s="20">
        <v>0</v>
      </c>
      <c r="D8" s="20">
        <f t="shared" si="0"/>
        <v>0</v>
      </c>
      <c r="E8" s="20">
        <v>0</v>
      </c>
      <c r="F8" s="38"/>
      <c r="G8" s="19"/>
      <c r="H8" s="20"/>
      <c r="I8" s="20">
        <f t="shared" si="1"/>
        <v>0</v>
      </c>
      <c r="J8" s="20">
        <v>0</v>
      </c>
      <c r="K8" s="38"/>
      <c r="L8" s="20"/>
      <c r="M8" s="20"/>
      <c r="Q8" s="12"/>
      <c r="R8" s="13"/>
    </row>
    <row r="9" spans="1:18" x14ac:dyDescent="0.25">
      <c r="A9" s="52"/>
      <c r="B9" s="19">
        <v>0</v>
      </c>
      <c r="C9" s="20">
        <v>0</v>
      </c>
      <c r="D9" s="20">
        <f t="shared" si="0"/>
        <v>0</v>
      </c>
      <c r="E9" s="20">
        <v>0</v>
      </c>
      <c r="F9" s="38"/>
      <c r="G9" s="19"/>
      <c r="H9" s="20"/>
      <c r="I9" s="20">
        <f t="shared" si="1"/>
        <v>0</v>
      </c>
      <c r="J9" s="20">
        <v>0</v>
      </c>
      <c r="K9" s="38"/>
      <c r="L9" s="20"/>
      <c r="M9" s="20"/>
      <c r="Q9" s="12"/>
      <c r="R9" s="13"/>
    </row>
    <row r="10" spans="1:18" x14ac:dyDescent="0.25">
      <c r="A10" s="52"/>
      <c r="B10" s="21">
        <v>6.9966301170000002E-3</v>
      </c>
      <c r="C10" s="22">
        <v>0</v>
      </c>
      <c r="D10" s="25">
        <f>IF(C10&lt;&gt;0,2*PI()/ABS(C10),0)</f>
        <v>0</v>
      </c>
      <c r="E10" s="26">
        <f>-B10</f>
        <v>-6.9966301170000002E-3</v>
      </c>
      <c r="F10" s="38" t="s">
        <v>13</v>
      </c>
      <c r="G10" s="21">
        <v>9.5727399999999997E-3</v>
      </c>
      <c r="H10" s="22">
        <v>0</v>
      </c>
      <c r="I10" s="25">
        <f>IF(H10&lt;&gt;0,2*PI()/ABS(H10),0)</f>
        <v>0</v>
      </c>
      <c r="J10" s="26">
        <f>-G10</f>
        <v>-9.5727399999999997E-3</v>
      </c>
      <c r="K10" s="38" t="s">
        <v>13</v>
      </c>
      <c r="L10" s="20" t="e">
        <f t="shared" ref="L10:L70" si="2">100*((D10-I10)/I10)</f>
        <v>#DIV/0!</v>
      </c>
      <c r="M10" s="20">
        <f t="shared" ref="M10:M16" si="3">100*((E10-J10)/J10)</f>
        <v>-26.910893673075837</v>
      </c>
      <c r="Q10" s="12"/>
      <c r="R10" s="13"/>
    </row>
    <row r="11" spans="1:18" x14ac:dyDescent="0.25">
      <c r="A11" s="52"/>
      <c r="B11" s="21">
        <v>-7.67195615E-3</v>
      </c>
      <c r="C11" s="22">
        <v>8.3726508707000005E-2</v>
      </c>
      <c r="D11" s="25">
        <f t="shared" ref="D11:D17" si="4">IF(C11&lt;&gt;0,2*PI()/ABS(C11),0)</f>
        <v>75.04415751010859</v>
      </c>
      <c r="E11" s="26">
        <f>-B11</f>
        <v>7.67195615E-3</v>
      </c>
      <c r="F11" s="38" t="s">
        <v>7</v>
      </c>
      <c r="G11" s="21">
        <v>-2.8449999999999999E-3</v>
      </c>
      <c r="H11" s="22">
        <v>9.2843300000000004E-2</v>
      </c>
      <c r="I11" s="25">
        <f t="shared" ref="I11:I17" si="5">IF(H11&lt;&gt;0,2*PI()/ABS(H11),0)</f>
        <v>67.675161343678923</v>
      </c>
      <c r="J11" s="26">
        <f>-G11</f>
        <v>2.8449999999999999E-3</v>
      </c>
      <c r="K11" s="38" t="s">
        <v>7</v>
      </c>
      <c r="L11" s="20">
        <f t="shared" si="2"/>
        <v>10.888775172632752</v>
      </c>
      <c r="M11" s="20">
        <f t="shared" si="3"/>
        <v>169.66453954305803</v>
      </c>
      <c r="Q11" s="12"/>
      <c r="R11" s="13"/>
    </row>
    <row r="12" spans="1:18" x14ac:dyDescent="0.25">
      <c r="A12" s="52"/>
      <c r="B12" s="21">
        <v>-7.67195615E-3</v>
      </c>
      <c r="C12" s="22">
        <v>-8.3726508707000005E-2</v>
      </c>
      <c r="D12" s="25">
        <f t="shared" si="4"/>
        <v>75.04415751010859</v>
      </c>
      <c r="E12" s="26">
        <f t="shared" ref="E12:E17" si="6">-B12</f>
        <v>7.67195615E-3</v>
      </c>
      <c r="F12" s="38" t="s">
        <v>7</v>
      </c>
      <c r="G12" s="21">
        <v>-2.8449999999999999E-3</v>
      </c>
      <c r="H12" s="22">
        <f>-H11</f>
        <v>-9.2843300000000004E-2</v>
      </c>
      <c r="I12" s="25">
        <f t="shared" si="5"/>
        <v>67.675161343678923</v>
      </c>
      <c r="J12" s="26">
        <f t="shared" ref="J12:J17" si="7">-G12</f>
        <v>2.8449999999999999E-3</v>
      </c>
      <c r="K12" s="38" t="s">
        <v>7</v>
      </c>
      <c r="L12" s="20">
        <f t="shared" si="2"/>
        <v>10.888775172632752</v>
      </c>
      <c r="M12" s="20">
        <f t="shared" si="3"/>
        <v>169.66453954305803</v>
      </c>
      <c r="Q12" s="12"/>
      <c r="R12" s="13"/>
    </row>
    <row r="13" spans="1:18" x14ac:dyDescent="0.25">
      <c r="A13" s="52"/>
      <c r="B13" s="21">
        <v>0.75671670668699997</v>
      </c>
      <c r="C13" s="22">
        <v>0</v>
      </c>
      <c r="D13" s="25">
        <f t="shared" si="4"/>
        <v>0</v>
      </c>
      <c r="E13" s="26">
        <f t="shared" si="6"/>
        <v>-0.75671670668699997</v>
      </c>
      <c r="F13" s="38" t="s">
        <v>10</v>
      </c>
      <c r="G13" s="21">
        <v>0.753305</v>
      </c>
      <c r="H13" s="22">
        <v>0</v>
      </c>
      <c r="I13" s="25">
        <f t="shared" si="5"/>
        <v>0</v>
      </c>
      <c r="J13" s="26">
        <f t="shared" si="7"/>
        <v>-0.753305</v>
      </c>
      <c r="K13" s="38" t="s">
        <v>10</v>
      </c>
      <c r="L13" s="20" t="e">
        <f t="shared" si="2"/>
        <v>#DIV/0!</v>
      </c>
      <c r="M13" s="20">
        <f t="shared" si="3"/>
        <v>0.45289845241966686</v>
      </c>
      <c r="Q13" s="12"/>
      <c r="R13" s="13"/>
    </row>
    <row r="14" spans="1:18" x14ac:dyDescent="0.25">
      <c r="A14" s="52"/>
      <c r="B14" s="21">
        <v>-2.4856736154519998</v>
      </c>
      <c r="C14" s="22">
        <v>0</v>
      </c>
      <c r="D14" s="25">
        <f t="shared" si="4"/>
        <v>0</v>
      </c>
      <c r="E14" s="26">
        <f t="shared" ref="E14:E15" si="8">-B14</f>
        <v>2.4856736154519998</v>
      </c>
      <c r="F14" s="38" t="s">
        <v>10</v>
      </c>
      <c r="G14" s="21">
        <v>-2.4848300000000001</v>
      </c>
      <c r="H14" s="22">
        <v>0</v>
      </c>
      <c r="I14" s="25">
        <f t="shared" si="5"/>
        <v>0</v>
      </c>
      <c r="J14" s="26">
        <f t="shared" ref="J14:J15" si="9">-G14</f>
        <v>2.4848300000000001</v>
      </c>
      <c r="K14" s="38" t="s">
        <v>10</v>
      </c>
      <c r="L14" s="20" t="e">
        <f t="shared" si="2"/>
        <v>#DIV/0!</v>
      </c>
      <c r="M14" s="20">
        <f t="shared" si="3"/>
        <v>3.39506305058992E-2</v>
      </c>
      <c r="Q14" s="12"/>
      <c r="R14" s="13"/>
    </row>
    <row r="15" spans="1:18" x14ac:dyDescent="0.25">
      <c r="A15" s="52"/>
      <c r="B15" s="21">
        <v>-2.2146364884579999</v>
      </c>
      <c r="C15" s="22">
        <v>0</v>
      </c>
      <c r="D15" s="25">
        <f t="shared" si="4"/>
        <v>0</v>
      </c>
      <c r="E15" s="26">
        <f t="shared" si="8"/>
        <v>2.2146364884579999</v>
      </c>
      <c r="F15" s="38" t="s">
        <v>9</v>
      </c>
      <c r="G15" s="21">
        <v>-2.42876</v>
      </c>
      <c r="H15" s="22">
        <v>0</v>
      </c>
      <c r="I15" s="25">
        <f t="shared" si="5"/>
        <v>0</v>
      </c>
      <c r="J15" s="26">
        <f t="shared" si="9"/>
        <v>2.42876</v>
      </c>
      <c r="K15" s="38" t="s">
        <v>9</v>
      </c>
      <c r="L15" s="20" t="e">
        <f t="shared" si="2"/>
        <v>#DIV/0!</v>
      </c>
      <c r="M15" s="20">
        <f t="shared" si="3"/>
        <v>-8.816165925904583</v>
      </c>
      <c r="Q15" s="12"/>
      <c r="R15" s="13"/>
    </row>
    <row r="16" spans="1:18" x14ac:dyDescent="0.25">
      <c r="A16" s="52"/>
      <c r="B16" s="21">
        <v>1.160796789722</v>
      </c>
      <c r="C16" s="22">
        <v>0</v>
      </c>
      <c r="D16" s="25">
        <f t="shared" si="4"/>
        <v>0</v>
      </c>
      <c r="E16" s="26">
        <f t="shared" si="6"/>
        <v>-1.160796789722</v>
      </c>
      <c r="F16" s="38" t="s">
        <v>8</v>
      </c>
      <c r="G16" s="21">
        <v>1.2178500000000001</v>
      </c>
      <c r="H16" s="22">
        <v>0</v>
      </c>
      <c r="I16" s="25">
        <f t="shared" si="5"/>
        <v>0</v>
      </c>
      <c r="J16" s="26">
        <f t="shared" si="7"/>
        <v>-1.2178500000000001</v>
      </c>
      <c r="K16" s="38" t="s">
        <v>8</v>
      </c>
      <c r="L16" s="20" t="e">
        <f t="shared" si="2"/>
        <v>#DIV/0!</v>
      </c>
      <c r="M16" s="20">
        <f t="shared" si="3"/>
        <v>-4.6847485550765811</v>
      </c>
      <c r="Q16" s="12"/>
      <c r="R16" s="13"/>
    </row>
    <row r="17" spans="1:18" x14ac:dyDescent="0.25">
      <c r="A17" s="53"/>
      <c r="B17" s="23">
        <v>-1.3006879129460001</v>
      </c>
      <c r="C17" s="24">
        <v>0</v>
      </c>
      <c r="D17" s="27">
        <f t="shared" si="4"/>
        <v>0</v>
      </c>
      <c r="E17" s="28">
        <f t="shared" si="6"/>
        <v>1.3006879129460001</v>
      </c>
      <c r="F17" s="39" t="s">
        <v>8</v>
      </c>
      <c r="G17" s="23">
        <v>-1.1327400000000001</v>
      </c>
      <c r="H17" s="24">
        <v>0</v>
      </c>
      <c r="I17" s="27">
        <f t="shared" si="5"/>
        <v>0</v>
      </c>
      <c r="J17" s="28">
        <f t="shared" si="7"/>
        <v>1.1327400000000001</v>
      </c>
      <c r="K17" s="39" t="s">
        <v>8</v>
      </c>
      <c r="L17" s="20" t="e">
        <f t="shared" si="2"/>
        <v>#DIV/0!</v>
      </c>
      <c r="M17" s="20">
        <f>100*((E17-J17)/J17)</f>
        <v>14.826695706516938</v>
      </c>
      <c r="Q17" s="12"/>
      <c r="R17" s="13"/>
    </row>
    <row r="18" spans="1:18" x14ac:dyDescent="0.25">
      <c r="A18" s="11"/>
      <c r="B18" s="20"/>
      <c r="C18" s="20"/>
      <c r="D18" s="20"/>
      <c r="E18" s="20"/>
      <c r="F18" s="20"/>
      <c r="G18" s="20"/>
      <c r="H18" s="20"/>
      <c r="I18" s="20"/>
      <c r="J18" s="20"/>
      <c r="K18" s="38"/>
      <c r="L18" s="20"/>
      <c r="M18" s="20"/>
      <c r="Q18" s="12"/>
      <c r="R18" s="13"/>
    </row>
    <row r="19" spans="1:18" x14ac:dyDescent="0.25">
      <c r="A19" s="11"/>
      <c r="B19" s="20"/>
      <c r="C19" s="20"/>
      <c r="D19" s="20"/>
      <c r="E19" s="20"/>
      <c r="F19" s="20"/>
      <c r="G19" s="20"/>
      <c r="H19" s="20"/>
      <c r="I19" s="20"/>
      <c r="J19" s="20"/>
      <c r="K19" s="38"/>
      <c r="L19" s="20"/>
      <c r="M19" s="20"/>
      <c r="Q19" s="12"/>
      <c r="R19" s="13"/>
    </row>
    <row r="20" spans="1:18" x14ac:dyDescent="0.25">
      <c r="A20" s="11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8" x14ac:dyDescent="0.25">
      <c r="A21" s="11"/>
      <c r="B21" s="20"/>
      <c r="C21" s="20"/>
      <c r="D21" s="20"/>
      <c r="E21" s="20"/>
      <c r="F21" s="20"/>
      <c r="G21" s="20"/>
      <c r="H21" s="20"/>
      <c r="I21" s="20"/>
      <c r="J21" s="20"/>
      <c r="K21" s="38"/>
      <c r="L21" s="20"/>
      <c r="M21" s="20"/>
    </row>
    <row r="22" spans="1:18" x14ac:dyDescent="0.25">
      <c r="A22" s="51" t="s">
        <v>12</v>
      </c>
      <c r="B22" s="54" t="s">
        <v>4</v>
      </c>
      <c r="C22" s="54"/>
      <c r="D22" s="54"/>
      <c r="E22" s="54"/>
      <c r="F22" s="18"/>
      <c r="G22" s="54" t="s">
        <v>5</v>
      </c>
      <c r="H22" s="54"/>
      <c r="I22" s="54"/>
      <c r="J22" s="54"/>
      <c r="K22" s="37"/>
      <c r="L22" s="20" t="s">
        <v>16</v>
      </c>
      <c r="M22" s="20" t="s">
        <v>17</v>
      </c>
    </row>
    <row r="23" spans="1:18" x14ac:dyDescent="0.25">
      <c r="A23" s="52"/>
      <c r="B23" s="55"/>
      <c r="C23" s="55"/>
      <c r="D23" s="55"/>
      <c r="E23" s="55"/>
      <c r="F23" s="20" t="s">
        <v>6</v>
      </c>
      <c r="G23" s="55"/>
      <c r="H23" s="55"/>
      <c r="I23" s="55"/>
      <c r="J23" s="55"/>
      <c r="K23" s="38" t="s">
        <v>6</v>
      </c>
      <c r="L23" s="20"/>
      <c r="M23" s="20"/>
    </row>
    <row r="24" spans="1:18" x14ac:dyDescent="0.25">
      <c r="A24" s="52"/>
      <c r="B24" s="17" t="s">
        <v>0</v>
      </c>
      <c r="C24" s="18"/>
      <c r="D24" s="18" t="s">
        <v>1</v>
      </c>
      <c r="E24" s="18" t="s">
        <v>2</v>
      </c>
      <c r="F24" s="37"/>
      <c r="G24" s="17" t="s">
        <v>0</v>
      </c>
      <c r="H24" s="18"/>
      <c r="I24" s="18" t="s">
        <v>1</v>
      </c>
      <c r="J24" s="18" t="s">
        <v>2</v>
      </c>
      <c r="K24" s="37"/>
      <c r="L24" s="20"/>
      <c r="M24" s="20"/>
    </row>
    <row r="25" spans="1:18" x14ac:dyDescent="0.25">
      <c r="A25" s="52"/>
      <c r="B25" s="17">
        <v>0</v>
      </c>
      <c r="C25" s="18">
        <v>0</v>
      </c>
      <c r="D25" s="20">
        <f t="shared" ref="D25:D28" si="10">IF(C25&lt;&gt;0,2*PI()/ABS(C25),0)</f>
        <v>0</v>
      </c>
      <c r="E25" s="18">
        <v>0</v>
      </c>
      <c r="F25" s="37"/>
      <c r="G25" s="17"/>
      <c r="H25" s="18"/>
      <c r="I25" s="20">
        <f t="shared" ref="I25:I28" si="11">IF(H25&lt;&gt;0,2*PI()/ABS(H25),0)</f>
        <v>0</v>
      </c>
      <c r="J25" s="18">
        <v>0</v>
      </c>
      <c r="K25" s="37"/>
      <c r="L25" s="20"/>
      <c r="M25" s="20"/>
    </row>
    <row r="26" spans="1:18" x14ac:dyDescent="0.25">
      <c r="A26" s="52"/>
      <c r="B26" s="19">
        <v>0</v>
      </c>
      <c r="C26" s="20">
        <v>0</v>
      </c>
      <c r="D26" s="20">
        <f t="shared" si="10"/>
        <v>0</v>
      </c>
      <c r="E26" s="20">
        <v>0</v>
      </c>
      <c r="F26" s="38"/>
      <c r="G26" s="19"/>
      <c r="H26" s="20"/>
      <c r="I26" s="20">
        <f t="shared" si="11"/>
        <v>0</v>
      </c>
      <c r="J26" s="20">
        <v>0</v>
      </c>
      <c r="K26" s="38"/>
      <c r="L26" s="20"/>
      <c r="M26" s="20"/>
    </row>
    <row r="27" spans="1:18" x14ac:dyDescent="0.25">
      <c r="A27" s="52"/>
      <c r="B27" s="19">
        <v>0</v>
      </c>
      <c r="C27" s="20">
        <v>0</v>
      </c>
      <c r="D27" s="20">
        <f t="shared" si="10"/>
        <v>0</v>
      </c>
      <c r="E27" s="20">
        <v>0</v>
      </c>
      <c r="F27" s="38"/>
      <c r="G27" s="19"/>
      <c r="H27" s="20"/>
      <c r="I27" s="20">
        <f t="shared" si="11"/>
        <v>0</v>
      </c>
      <c r="J27" s="20">
        <v>0</v>
      </c>
      <c r="K27" s="38"/>
      <c r="L27" s="20"/>
      <c r="M27" s="20"/>
    </row>
    <row r="28" spans="1:18" x14ac:dyDescent="0.25">
      <c r="A28" s="52"/>
      <c r="B28" s="19">
        <v>0</v>
      </c>
      <c r="C28" s="20">
        <v>0</v>
      </c>
      <c r="D28" s="20">
        <f t="shared" si="10"/>
        <v>0</v>
      </c>
      <c r="E28" s="20">
        <v>0</v>
      </c>
      <c r="F28" s="38"/>
      <c r="G28" s="19"/>
      <c r="H28" s="20"/>
      <c r="I28" s="20">
        <f t="shared" si="11"/>
        <v>0</v>
      </c>
      <c r="J28" s="20">
        <v>0</v>
      </c>
      <c r="K28" s="38"/>
      <c r="L28" s="20"/>
      <c r="M28" s="20"/>
    </row>
    <row r="29" spans="1:18" x14ac:dyDescent="0.25">
      <c r="A29" s="52"/>
      <c r="B29" s="21">
        <v>7.5281656370000003E-3</v>
      </c>
      <c r="C29" s="22">
        <v>0</v>
      </c>
      <c r="D29" s="25">
        <f>IF(C29&lt;&gt;0,2*PI()/ABS(C29),0)</f>
        <v>0</v>
      </c>
      <c r="E29" s="26">
        <f>-B29</f>
        <v>-7.5281656370000003E-3</v>
      </c>
      <c r="F29" s="38" t="s">
        <v>13</v>
      </c>
      <c r="G29" s="22">
        <v>1.0442E-2</v>
      </c>
      <c r="H29" s="22">
        <v>0</v>
      </c>
      <c r="I29" s="25">
        <f>IF(H29&lt;&gt;0,2*PI()/ABS(H29),0)</f>
        <v>0</v>
      </c>
      <c r="J29" s="26">
        <f>-G29</f>
        <v>-1.0442E-2</v>
      </c>
      <c r="K29" s="38" t="s">
        <v>13</v>
      </c>
      <c r="L29" s="20" t="e">
        <f t="shared" si="2"/>
        <v>#DIV/0!</v>
      </c>
      <c r="M29" s="20">
        <f t="shared" ref="M29:M73" si="12">100*((E29-J29)/J29)</f>
        <v>-27.904945058417923</v>
      </c>
    </row>
    <row r="30" spans="1:18" x14ac:dyDescent="0.25">
      <c r="A30" s="52"/>
      <c r="B30" s="21">
        <v>-4.0843674600000001E-3</v>
      </c>
      <c r="C30" s="22">
        <v>6.4726684923999994E-2</v>
      </c>
      <c r="D30" s="25">
        <f t="shared" ref="D30:D36" si="13">IF(C30&lt;&gt;0,2*PI()/ABS(C30),0)</f>
        <v>97.072564654857601</v>
      </c>
      <c r="E30" s="26">
        <f>-B30</f>
        <v>4.0843674600000001E-3</v>
      </c>
      <c r="F30" s="38" t="s">
        <v>7</v>
      </c>
      <c r="G30" s="21">
        <v>-3.5403700000000003E-4</v>
      </c>
      <c r="H30" s="22">
        <v>7.1747500000000006E-2</v>
      </c>
      <c r="I30" s="25">
        <f t="shared" ref="I30:I36" si="14">IF(H30&lt;&gt;0,2*PI()/ABS(H30),0)</f>
        <v>87.573578273522926</v>
      </c>
      <c r="J30" s="26">
        <f>-G30</f>
        <v>3.5403700000000003E-4</v>
      </c>
      <c r="K30" s="38" t="s">
        <v>7</v>
      </c>
      <c r="L30" s="20">
        <f t="shared" si="2"/>
        <v>10.846863367471427</v>
      </c>
      <c r="M30" s="20">
        <f t="shared" si="12"/>
        <v>1053.6555388278625</v>
      </c>
    </row>
    <row r="31" spans="1:18" x14ac:dyDescent="0.25">
      <c r="A31" s="52"/>
      <c r="B31" s="21">
        <v>-4.0843674600000001E-3</v>
      </c>
      <c r="C31" s="22">
        <v>-6.4726684923999994E-2</v>
      </c>
      <c r="D31" s="25">
        <f t="shared" si="13"/>
        <v>97.072564654857601</v>
      </c>
      <c r="E31" s="26">
        <f t="shared" ref="E31:E36" si="15">-B31</f>
        <v>4.0843674600000001E-3</v>
      </c>
      <c r="F31" s="38" t="s">
        <v>7</v>
      </c>
      <c r="G31" s="21">
        <v>-3.5403700000000003E-4</v>
      </c>
      <c r="H31" s="22">
        <v>-7.1747500000000006E-2</v>
      </c>
      <c r="I31" s="25">
        <f t="shared" si="14"/>
        <v>87.573578273522926</v>
      </c>
      <c r="J31" s="26">
        <f t="shared" ref="J31:J36" si="16">-G31</f>
        <v>3.5403700000000003E-4</v>
      </c>
      <c r="K31" s="38" t="s">
        <v>7</v>
      </c>
      <c r="L31" s="20">
        <f t="shared" si="2"/>
        <v>10.846863367471427</v>
      </c>
      <c r="M31" s="20">
        <f t="shared" si="12"/>
        <v>1053.6555388278625</v>
      </c>
    </row>
    <row r="32" spans="1:18" x14ac:dyDescent="0.25">
      <c r="A32" s="52"/>
      <c r="B32" s="21">
        <v>-0.892267743542</v>
      </c>
      <c r="C32" s="22">
        <v>1.825845903392</v>
      </c>
      <c r="D32" s="25">
        <f t="shared" si="13"/>
        <v>3.4412462166204052</v>
      </c>
      <c r="E32" s="26">
        <f t="shared" ref="E32:E33" si="17">-B32</f>
        <v>0.892267743542</v>
      </c>
      <c r="F32" s="38" t="s">
        <v>10</v>
      </c>
      <c r="G32" s="21">
        <v>-0.89206300000000005</v>
      </c>
      <c r="H32" s="22">
        <v>1.82738</v>
      </c>
      <c r="I32" s="25">
        <f t="shared" si="14"/>
        <v>3.4383572695222595</v>
      </c>
      <c r="J32" s="26">
        <f t="shared" si="16"/>
        <v>0.89206300000000005</v>
      </c>
      <c r="K32" s="38" t="s">
        <v>10</v>
      </c>
      <c r="L32" s="20">
        <f t="shared" si="2"/>
        <v>8.4021143577877586E-2</v>
      </c>
      <c r="M32" s="20">
        <f t="shared" si="12"/>
        <v>2.2951690855909521E-2</v>
      </c>
    </row>
    <row r="33" spans="1:13" x14ac:dyDescent="0.25">
      <c r="A33" s="52"/>
      <c r="B33" s="21">
        <v>-0.892267743542</v>
      </c>
      <c r="C33" s="22">
        <v>-1.825845903392</v>
      </c>
      <c r="D33" s="25">
        <f t="shared" si="13"/>
        <v>3.4412462166204052</v>
      </c>
      <c r="E33" s="26">
        <f t="shared" si="17"/>
        <v>0.892267743542</v>
      </c>
      <c r="F33" s="38" t="s">
        <v>10</v>
      </c>
      <c r="G33" s="21">
        <v>-0.89206300000000005</v>
      </c>
      <c r="H33" s="22">
        <v>-1.82738</v>
      </c>
      <c r="I33" s="25">
        <f t="shared" si="14"/>
        <v>3.4383572695222595</v>
      </c>
      <c r="J33" s="26">
        <f t="shared" si="16"/>
        <v>0.89206300000000005</v>
      </c>
      <c r="K33" s="38" t="s">
        <v>10</v>
      </c>
      <c r="L33" s="20">
        <f t="shared" si="2"/>
        <v>8.4021143577877586E-2</v>
      </c>
      <c r="M33" s="20">
        <f t="shared" si="12"/>
        <v>2.2951690855909521E-2</v>
      </c>
    </row>
    <row r="34" spans="1:13" x14ac:dyDescent="0.25">
      <c r="A34" s="52"/>
      <c r="B34" s="21">
        <v>-2.2045521628019999</v>
      </c>
      <c r="C34" s="22">
        <v>0</v>
      </c>
      <c r="D34" s="25">
        <f t="shared" si="13"/>
        <v>0</v>
      </c>
      <c r="E34" s="26">
        <f t="shared" si="15"/>
        <v>2.2045521628019999</v>
      </c>
      <c r="F34" s="38" t="s">
        <v>9</v>
      </c>
      <c r="G34" s="21">
        <v>-2.4241899999999998</v>
      </c>
      <c r="H34" s="22">
        <v>0</v>
      </c>
      <c r="I34" s="25">
        <f t="shared" si="14"/>
        <v>0</v>
      </c>
      <c r="J34" s="26">
        <f t="shared" si="16"/>
        <v>2.4241899999999998</v>
      </c>
      <c r="K34" s="38" t="s">
        <v>9</v>
      </c>
      <c r="L34" s="20" t="e">
        <f t="shared" si="2"/>
        <v>#DIV/0!</v>
      </c>
      <c r="M34" s="20">
        <f t="shared" si="12"/>
        <v>-9.0602567124689024</v>
      </c>
    </row>
    <row r="35" spans="1:13" x14ac:dyDescent="0.25">
      <c r="A35" s="52"/>
      <c r="B35" s="21">
        <v>-1.174893605122</v>
      </c>
      <c r="C35" s="22">
        <v>0</v>
      </c>
      <c r="D35" s="25">
        <f t="shared" si="13"/>
        <v>0</v>
      </c>
      <c r="E35" s="26">
        <f t="shared" si="15"/>
        <v>1.174893605122</v>
      </c>
      <c r="F35" s="38" t="s">
        <v>8</v>
      </c>
      <c r="G35" s="21">
        <v>-1.0073099999999999</v>
      </c>
      <c r="H35" s="22">
        <v>0</v>
      </c>
      <c r="I35" s="25">
        <f t="shared" si="14"/>
        <v>0</v>
      </c>
      <c r="J35" s="26">
        <f t="shared" si="16"/>
        <v>1.0073099999999999</v>
      </c>
      <c r="K35" s="38" t="s">
        <v>8</v>
      </c>
      <c r="L35" s="20" t="e">
        <f t="shared" si="2"/>
        <v>#DIV/0!</v>
      </c>
      <c r="M35" s="20">
        <f t="shared" si="12"/>
        <v>16.6367458996734</v>
      </c>
    </row>
    <row r="36" spans="1:13" x14ac:dyDescent="0.25">
      <c r="A36" s="53"/>
      <c r="B36" s="23">
        <v>1.0249608867419999</v>
      </c>
      <c r="C36" s="24">
        <v>0</v>
      </c>
      <c r="D36" s="27">
        <f t="shared" si="13"/>
        <v>0</v>
      </c>
      <c r="E36" s="28">
        <f t="shared" si="15"/>
        <v>-1.0249608867419999</v>
      </c>
      <c r="F36" s="39" t="s">
        <v>8</v>
      </c>
      <c r="G36" s="23">
        <v>1.0900300000000001</v>
      </c>
      <c r="H36" s="24">
        <v>0</v>
      </c>
      <c r="I36" s="27">
        <f t="shared" si="14"/>
        <v>0</v>
      </c>
      <c r="J36" s="28">
        <f t="shared" si="16"/>
        <v>-1.0900300000000001</v>
      </c>
      <c r="K36" s="39" t="s">
        <v>8</v>
      </c>
      <c r="L36" s="20" t="e">
        <f t="shared" si="2"/>
        <v>#DIV/0!</v>
      </c>
      <c r="M36" s="20">
        <f t="shared" si="12"/>
        <v>-5.9694791205746753</v>
      </c>
    </row>
    <row r="37" spans="1:13" x14ac:dyDescent="0.2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3" x14ac:dyDescent="0.25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3" x14ac:dyDescent="0.25">
      <c r="A39" s="1"/>
      <c r="B39" s="49" t="s">
        <v>15</v>
      </c>
      <c r="C39" s="49"/>
      <c r="D39" s="49"/>
      <c r="E39" s="49"/>
      <c r="F39" s="49"/>
      <c r="G39" s="49"/>
      <c r="H39" s="49"/>
      <c r="I39" s="49"/>
      <c r="J39" s="49"/>
      <c r="K39" s="50"/>
      <c r="L39" s="20" t="s">
        <v>16</v>
      </c>
      <c r="M39" s="20" t="s">
        <v>17</v>
      </c>
    </row>
    <row r="40" spans="1:13" x14ac:dyDescent="0.25">
      <c r="A40" s="51" t="s">
        <v>11</v>
      </c>
      <c r="B40" s="54" t="s">
        <v>4</v>
      </c>
      <c r="C40" s="54"/>
      <c r="D40" s="54"/>
      <c r="E40" s="54"/>
      <c r="F40" s="18"/>
      <c r="G40" s="54" t="s">
        <v>5</v>
      </c>
      <c r="H40" s="54"/>
      <c r="I40" s="54"/>
      <c r="J40" s="54"/>
      <c r="K40" s="37"/>
      <c r="L40" s="20"/>
      <c r="M40" s="20"/>
    </row>
    <row r="41" spans="1:13" x14ac:dyDescent="0.25">
      <c r="A41" s="52"/>
      <c r="B41" s="55"/>
      <c r="C41" s="55"/>
      <c r="D41" s="55"/>
      <c r="E41" s="55"/>
      <c r="F41" s="20" t="s">
        <v>6</v>
      </c>
      <c r="G41" s="55"/>
      <c r="H41" s="55"/>
      <c r="I41" s="55"/>
      <c r="J41" s="55"/>
      <c r="K41" s="38" t="s">
        <v>6</v>
      </c>
      <c r="L41" s="20"/>
      <c r="M41" s="20"/>
    </row>
    <row r="42" spans="1:13" x14ac:dyDescent="0.25">
      <c r="A42" s="52"/>
      <c r="B42" s="40" t="s">
        <v>0</v>
      </c>
      <c r="C42" s="41"/>
      <c r="D42" s="41" t="s">
        <v>1</v>
      </c>
      <c r="E42" s="41" t="s">
        <v>2</v>
      </c>
      <c r="F42" s="41"/>
      <c r="G42" s="41" t="s">
        <v>0</v>
      </c>
      <c r="H42" s="41"/>
      <c r="I42" s="41" t="s">
        <v>1</v>
      </c>
      <c r="J42" s="41" t="s">
        <v>2</v>
      </c>
      <c r="K42" s="42"/>
      <c r="L42" s="20"/>
      <c r="M42" s="20"/>
    </row>
    <row r="43" spans="1:13" x14ac:dyDescent="0.25">
      <c r="A43" s="52"/>
      <c r="B43" s="17">
        <v>0</v>
      </c>
      <c r="C43" s="20">
        <v>0</v>
      </c>
      <c r="D43" s="20">
        <f t="shared" ref="D43:D46" si="18">IF(C43&lt;&gt;0,2*PI()/ABS(C43),0)</f>
        <v>0</v>
      </c>
      <c r="E43" s="20">
        <v>0</v>
      </c>
      <c r="F43" s="37"/>
      <c r="G43" s="20"/>
      <c r="H43" s="20"/>
      <c r="I43" s="20">
        <f t="shared" ref="I43:I46" si="19">IF(H43&lt;&gt;0,2*PI()/ABS(H43),0)</f>
        <v>0</v>
      </c>
      <c r="J43" s="20">
        <v>0</v>
      </c>
      <c r="K43" s="38"/>
      <c r="L43" s="20"/>
      <c r="M43" s="20"/>
    </row>
    <row r="44" spans="1:13" x14ac:dyDescent="0.25">
      <c r="A44" s="52"/>
      <c r="B44" s="19">
        <v>0</v>
      </c>
      <c r="C44" s="20">
        <v>0</v>
      </c>
      <c r="D44" s="20">
        <f t="shared" si="18"/>
        <v>0</v>
      </c>
      <c r="E44" s="20">
        <v>0</v>
      </c>
      <c r="F44" s="38"/>
      <c r="G44" s="20"/>
      <c r="H44" s="20"/>
      <c r="I44" s="20">
        <f t="shared" si="19"/>
        <v>0</v>
      </c>
      <c r="J44" s="20">
        <v>0</v>
      </c>
      <c r="K44" s="38"/>
      <c r="L44" s="20"/>
      <c r="M44" s="20"/>
    </row>
    <row r="45" spans="1:13" x14ac:dyDescent="0.25">
      <c r="A45" s="52"/>
      <c r="B45" s="19">
        <v>0</v>
      </c>
      <c r="C45" s="20">
        <v>0</v>
      </c>
      <c r="D45" s="20">
        <f t="shared" si="18"/>
        <v>0</v>
      </c>
      <c r="E45" s="20">
        <v>0</v>
      </c>
      <c r="F45" s="38"/>
      <c r="G45" s="20"/>
      <c r="H45" s="20"/>
      <c r="I45" s="20">
        <f t="shared" si="19"/>
        <v>0</v>
      </c>
      <c r="J45" s="20">
        <v>0</v>
      </c>
      <c r="K45" s="38"/>
      <c r="L45" s="20"/>
      <c r="M45" s="20"/>
    </row>
    <row r="46" spans="1:13" x14ac:dyDescent="0.25">
      <c r="A46" s="52"/>
      <c r="B46" s="19">
        <v>0</v>
      </c>
      <c r="C46" s="20">
        <v>0</v>
      </c>
      <c r="D46" s="20">
        <f t="shared" si="18"/>
        <v>0</v>
      </c>
      <c r="E46" s="20">
        <v>0</v>
      </c>
      <c r="F46" s="38"/>
      <c r="G46" s="20"/>
      <c r="H46" s="20"/>
      <c r="I46" s="20">
        <f t="shared" si="19"/>
        <v>0</v>
      </c>
      <c r="J46" s="20">
        <v>0</v>
      </c>
      <c r="K46" s="38"/>
      <c r="L46" s="20"/>
      <c r="M46" s="20"/>
    </row>
    <row r="47" spans="1:13" x14ac:dyDescent="0.25">
      <c r="A47" s="52"/>
      <c r="B47" s="21">
        <v>-1.0707821245000001E-2</v>
      </c>
      <c r="C47" s="22">
        <v>0</v>
      </c>
      <c r="D47" s="25">
        <f>IF(C47&lt;&gt;0,2*PI()/ABS(C47),0)</f>
        <v>0</v>
      </c>
      <c r="E47" s="26">
        <f>-B47</f>
        <v>1.0707821245000001E-2</v>
      </c>
      <c r="F47" s="38" t="s">
        <v>13</v>
      </c>
      <c r="G47" s="22"/>
      <c r="H47" s="22"/>
      <c r="I47" s="25">
        <f>IF(H47&lt;&gt;0,2*PI()/ABS(H47),0)</f>
        <v>0</v>
      </c>
      <c r="J47" s="26">
        <f>-G47</f>
        <v>0</v>
      </c>
      <c r="K47" s="38" t="s">
        <v>13</v>
      </c>
      <c r="L47" s="20" t="e">
        <f t="shared" si="2"/>
        <v>#DIV/0!</v>
      </c>
      <c r="M47" s="20" t="e">
        <f t="shared" si="12"/>
        <v>#DIV/0!</v>
      </c>
    </row>
    <row r="48" spans="1:13" x14ac:dyDescent="0.25">
      <c r="A48" s="52"/>
      <c r="B48" s="21">
        <v>-1.9804781860000001E-3</v>
      </c>
      <c r="C48" s="22">
        <v>0.117459270271</v>
      </c>
      <c r="D48" s="25">
        <f t="shared" ref="D48:D54" si="20">IF(C48&lt;&gt;0,2*PI()/ABS(C48),0)</f>
        <v>53.492459919792871</v>
      </c>
      <c r="E48" s="26">
        <f>-B48</f>
        <v>1.9804781860000001E-3</v>
      </c>
      <c r="F48" s="38" t="s">
        <v>7</v>
      </c>
      <c r="G48" s="22"/>
      <c r="H48" s="22"/>
      <c r="I48" s="25">
        <f t="shared" ref="I48:I54" si="21">IF(H48&lt;&gt;0,2*PI()/ABS(H48),0)</f>
        <v>0</v>
      </c>
      <c r="J48" s="26">
        <f>-G48</f>
        <v>0</v>
      </c>
      <c r="K48" s="38" t="s">
        <v>7</v>
      </c>
      <c r="L48" s="20" t="e">
        <f t="shared" si="2"/>
        <v>#DIV/0!</v>
      </c>
      <c r="M48" s="20" t="e">
        <f t="shared" si="12"/>
        <v>#DIV/0!</v>
      </c>
    </row>
    <row r="49" spans="1:13" x14ac:dyDescent="0.25">
      <c r="A49" s="52"/>
      <c r="B49" s="21">
        <v>-1.9804781860000001E-3</v>
      </c>
      <c r="C49" s="22">
        <v>-0.117459270271</v>
      </c>
      <c r="D49" s="25">
        <f t="shared" si="20"/>
        <v>53.492459919792871</v>
      </c>
      <c r="E49" s="26">
        <f t="shared" ref="E49:E54" si="22">-B49</f>
        <v>1.9804781860000001E-3</v>
      </c>
      <c r="F49" s="38" t="s">
        <v>7</v>
      </c>
      <c r="G49" s="22"/>
      <c r="H49" s="22"/>
      <c r="I49" s="25">
        <f t="shared" si="21"/>
        <v>0</v>
      </c>
      <c r="J49" s="26">
        <f t="shared" ref="J49:J54" si="23">-G49</f>
        <v>0</v>
      </c>
      <c r="K49" s="38" t="s">
        <v>7</v>
      </c>
      <c r="L49" s="20" t="e">
        <f t="shared" si="2"/>
        <v>#DIV/0!</v>
      </c>
      <c r="M49" s="20" t="e">
        <f t="shared" si="12"/>
        <v>#DIV/0!</v>
      </c>
    </row>
    <row r="50" spans="1:13" x14ac:dyDescent="0.25">
      <c r="A50" s="52"/>
      <c r="B50" s="21">
        <v>-2.4639399542509999</v>
      </c>
      <c r="C50" s="22">
        <v>0</v>
      </c>
      <c r="D50" s="25">
        <f t="shared" si="20"/>
        <v>0</v>
      </c>
      <c r="E50" s="26">
        <f t="shared" si="22"/>
        <v>2.4639399542509999</v>
      </c>
      <c r="F50" s="38" t="s">
        <v>10</v>
      </c>
      <c r="G50" s="22"/>
      <c r="H50" s="22"/>
      <c r="I50" s="25">
        <f t="shared" si="21"/>
        <v>0</v>
      </c>
      <c r="J50" s="26">
        <f t="shared" si="23"/>
        <v>0</v>
      </c>
      <c r="K50" s="38" t="s">
        <v>10</v>
      </c>
      <c r="L50" s="20" t="e">
        <f t="shared" si="2"/>
        <v>#DIV/0!</v>
      </c>
      <c r="M50" s="20" t="e">
        <f t="shared" si="12"/>
        <v>#DIV/0!</v>
      </c>
    </row>
    <row r="51" spans="1:13" x14ac:dyDescent="0.25">
      <c r="A51" s="52"/>
      <c r="B51" s="21">
        <v>0.77128265608500002</v>
      </c>
      <c r="C51" s="22">
        <v>0</v>
      </c>
      <c r="D51" s="25">
        <f t="shared" si="20"/>
        <v>0</v>
      </c>
      <c r="E51" s="26">
        <f t="shared" si="22"/>
        <v>-0.77128265608500002</v>
      </c>
      <c r="F51" s="38" t="s">
        <v>10</v>
      </c>
      <c r="G51" s="22"/>
      <c r="H51" s="22"/>
      <c r="I51" s="25">
        <f t="shared" si="21"/>
        <v>0</v>
      </c>
      <c r="J51" s="26" t="e">
        <f>-#REF!</f>
        <v>#REF!</v>
      </c>
      <c r="K51" s="38" t="s">
        <v>10</v>
      </c>
      <c r="L51" s="20" t="e">
        <f t="shared" si="2"/>
        <v>#DIV/0!</v>
      </c>
      <c r="M51" s="20" t="e">
        <f t="shared" si="12"/>
        <v>#REF!</v>
      </c>
    </row>
    <row r="52" spans="1:13" x14ac:dyDescent="0.25">
      <c r="A52" s="52"/>
      <c r="B52" s="21">
        <v>-1.4827988419160001</v>
      </c>
      <c r="C52" s="22">
        <v>0</v>
      </c>
      <c r="D52" s="25">
        <f t="shared" si="20"/>
        <v>0</v>
      </c>
      <c r="E52" s="26">
        <f t="shared" si="22"/>
        <v>1.4827988419160001</v>
      </c>
      <c r="F52" s="38" t="s">
        <v>9</v>
      </c>
      <c r="G52" s="22"/>
      <c r="H52" s="22"/>
      <c r="I52" s="25">
        <f t="shared" si="21"/>
        <v>0</v>
      </c>
      <c r="J52" s="26">
        <f>-G53</f>
        <v>0</v>
      </c>
      <c r="K52" s="38" t="s">
        <v>9</v>
      </c>
      <c r="L52" s="20" t="e">
        <f t="shared" si="2"/>
        <v>#DIV/0!</v>
      </c>
      <c r="M52" s="20" t="e">
        <f t="shared" si="12"/>
        <v>#DIV/0!</v>
      </c>
    </row>
    <row r="53" spans="1:13" x14ac:dyDescent="0.25">
      <c r="A53" s="52"/>
      <c r="B53" s="21">
        <v>-1.9028342119349999</v>
      </c>
      <c r="C53" s="22">
        <v>0</v>
      </c>
      <c r="D53" s="25">
        <f t="shared" si="20"/>
        <v>0</v>
      </c>
      <c r="E53" s="26">
        <f t="shared" si="22"/>
        <v>1.9028342119349999</v>
      </c>
      <c r="F53" s="38" t="s">
        <v>8</v>
      </c>
      <c r="G53" s="22"/>
      <c r="H53" s="22"/>
      <c r="I53" s="25">
        <f t="shared" si="21"/>
        <v>0</v>
      </c>
      <c r="J53" s="26">
        <f t="shared" si="23"/>
        <v>0</v>
      </c>
      <c r="K53" s="38" t="s">
        <v>8</v>
      </c>
      <c r="L53" s="20" t="e">
        <f t="shared" si="2"/>
        <v>#DIV/0!</v>
      </c>
      <c r="M53" s="20" t="e">
        <f t="shared" si="12"/>
        <v>#DIV/0!</v>
      </c>
    </row>
    <row r="54" spans="1:13" x14ac:dyDescent="0.25">
      <c r="A54" s="53"/>
      <c r="B54" s="23">
        <v>1.028746876904</v>
      </c>
      <c r="C54" s="24">
        <v>0</v>
      </c>
      <c r="D54" s="27">
        <f t="shared" si="20"/>
        <v>0</v>
      </c>
      <c r="E54" s="28">
        <f t="shared" si="22"/>
        <v>-1.028746876904</v>
      </c>
      <c r="F54" s="39" t="s">
        <v>8</v>
      </c>
      <c r="G54" s="24"/>
      <c r="H54" s="24"/>
      <c r="I54" s="27">
        <f t="shared" si="21"/>
        <v>0</v>
      </c>
      <c r="J54" s="28">
        <f t="shared" si="23"/>
        <v>0</v>
      </c>
      <c r="K54" s="39" t="s">
        <v>8</v>
      </c>
      <c r="L54" s="20" t="e">
        <f t="shared" si="2"/>
        <v>#DIV/0!</v>
      </c>
      <c r="M54" s="20" t="e">
        <f t="shared" si="12"/>
        <v>#DIV/0!</v>
      </c>
    </row>
    <row r="55" spans="1:13" x14ac:dyDescent="0.25">
      <c r="A55" s="11"/>
      <c r="B55" s="20"/>
      <c r="C55" s="20"/>
      <c r="D55" s="20"/>
      <c r="E55" s="20"/>
      <c r="F55" s="20"/>
      <c r="G55" s="20"/>
      <c r="H55" s="20"/>
      <c r="I55" s="20"/>
      <c r="J55" s="20"/>
      <c r="K55" s="38"/>
      <c r="L55" s="20"/>
      <c r="M55" s="20"/>
    </row>
    <row r="56" spans="1:13" x14ac:dyDescent="0.25">
      <c r="A56" s="11"/>
      <c r="B56" s="20"/>
      <c r="C56" s="20"/>
      <c r="D56" s="20"/>
      <c r="E56" s="20"/>
      <c r="F56" s="20"/>
      <c r="G56" s="20"/>
      <c r="H56" s="20"/>
      <c r="I56" s="20"/>
      <c r="J56" s="20"/>
      <c r="K56" s="38"/>
      <c r="L56" s="20"/>
      <c r="M56" s="20"/>
    </row>
    <row r="57" spans="1:13" x14ac:dyDescent="0.25">
      <c r="A57" s="11"/>
      <c r="B57" s="20"/>
      <c r="C57" s="20"/>
      <c r="D57" s="20"/>
      <c r="E57" s="20"/>
      <c r="F57" s="20"/>
      <c r="G57" s="20"/>
      <c r="H57" s="20"/>
      <c r="I57" s="20"/>
      <c r="J57" s="20"/>
      <c r="K57" s="38"/>
      <c r="L57" s="20"/>
      <c r="M57" s="20"/>
    </row>
    <row r="58" spans="1:13" x14ac:dyDescent="0.25">
      <c r="A58" s="11"/>
      <c r="B58" s="20"/>
      <c r="C58" s="20"/>
      <c r="D58" s="20"/>
      <c r="E58" s="20"/>
      <c r="F58" s="20"/>
      <c r="G58" s="20"/>
      <c r="H58" s="20"/>
      <c r="I58" s="20"/>
      <c r="J58" s="20"/>
      <c r="K58" s="38"/>
      <c r="L58" s="20"/>
      <c r="M58" s="20"/>
    </row>
    <row r="59" spans="1:13" x14ac:dyDescent="0.25">
      <c r="A59" s="51" t="s">
        <v>12</v>
      </c>
      <c r="B59" s="56" t="s">
        <v>4</v>
      </c>
      <c r="C59" s="54"/>
      <c r="D59" s="54"/>
      <c r="E59" s="54"/>
      <c r="F59" s="18"/>
      <c r="G59" s="54" t="s">
        <v>5</v>
      </c>
      <c r="H59" s="54"/>
      <c r="I59" s="54"/>
      <c r="J59" s="54"/>
      <c r="K59" s="37"/>
      <c r="L59" s="20" t="s">
        <v>16</v>
      </c>
      <c r="M59" s="20" t="s">
        <v>17</v>
      </c>
    </row>
    <row r="60" spans="1:13" x14ac:dyDescent="0.25">
      <c r="A60" s="52"/>
      <c r="B60" s="57"/>
      <c r="C60" s="55"/>
      <c r="D60" s="55"/>
      <c r="E60" s="55"/>
      <c r="F60" s="20" t="s">
        <v>6</v>
      </c>
      <c r="G60" s="55"/>
      <c r="H60" s="55"/>
      <c r="I60" s="55"/>
      <c r="J60" s="55"/>
      <c r="K60" s="38" t="s">
        <v>6</v>
      </c>
      <c r="L60" s="20"/>
      <c r="M60" s="20"/>
    </row>
    <row r="61" spans="1:13" x14ac:dyDescent="0.25">
      <c r="A61" s="52"/>
      <c r="B61" s="17" t="s">
        <v>0</v>
      </c>
      <c r="C61" s="18"/>
      <c r="D61" s="18" t="s">
        <v>1</v>
      </c>
      <c r="E61" s="18" t="s">
        <v>2</v>
      </c>
      <c r="F61" s="37"/>
      <c r="G61" s="17" t="s">
        <v>0</v>
      </c>
      <c r="H61" s="18"/>
      <c r="I61" s="18" t="s">
        <v>1</v>
      </c>
      <c r="J61" s="18" t="s">
        <v>2</v>
      </c>
      <c r="K61" s="37"/>
      <c r="L61" s="20"/>
      <c r="M61" s="20"/>
    </row>
    <row r="62" spans="1:13" x14ac:dyDescent="0.25">
      <c r="A62" s="52"/>
      <c r="B62" s="17">
        <v>0</v>
      </c>
      <c r="C62" s="18">
        <v>0</v>
      </c>
      <c r="D62" s="20">
        <f t="shared" ref="D62:D65" si="24">IF(C62&lt;&gt;0,2*PI()/ABS(C62),0)</f>
        <v>0</v>
      </c>
      <c r="E62" s="18">
        <v>0</v>
      </c>
      <c r="F62" s="37"/>
      <c r="G62" s="17"/>
      <c r="H62" s="18"/>
      <c r="I62" s="20">
        <f t="shared" ref="I62:I65" si="25">IF(H62&lt;&gt;0,2*PI()/ABS(H62),0)</f>
        <v>0</v>
      </c>
      <c r="J62" s="18">
        <v>0</v>
      </c>
      <c r="K62" s="37"/>
      <c r="L62" s="20"/>
      <c r="M62" s="20"/>
    </row>
    <row r="63" spans="1:13" x14ac:dyDescent="0.25">
      <c r="A63" s="52"/>
      <c r="B63" s="19">
        <v>0</v>
      </c>
      <c r="C63" s="20">
        <v>0</v>
      </c>
      <c r="D63" s="20">
        <f t="shared" si="24"/>
        <v>0</v>
      </c>
      <c r="E63" s="20">
        <v>0</v>
      </c>
      <c r="F63" s="38"/>
      <c r="G63" s="19"/>
      <c r="H63" s="20"/>
      <c r="I63" s="20">
        <f t="shared" si="25"/>
        <v>0</v>
      </c>
      <c r="J63" s="20">
        <v>0</v>
      </c>
      <c r="K63" s="38"/>
      <c r="L63" s="20"/>
      <c r="M63" s="20"/>
    </row>
    <row r="64" spans="1:13" x14ac:dyDescent="0.25">
      <c r="A64" s="52"/>
      <c r="B64" s="19">
        <v>0</v>
      </c>
      <c r="C64" s="20">
        <v>0</v>
      </c>
      <c r="D64" s="20">
        <f t="shared" si="24"/>
        <v>0</v>
      </c>
      <c r="E64" s="20">
        <v>0</v>
      </c>
      <c r="F64" s="38"/>
      <c r="G64" s="19"/>
      <c r="H64" s="20"/>
      <c r="I64" s="20">
        <f t="shared" si="25"/>
        <v>0</v>
      </c>
      <c r="J64" s="20">
        <v>0</v>
      </c>
      <c r="K64" s="38"/>
      <c r="L64" s="20"/>
      <c r="M64" s="20"/>
    </row>
    <row r="65" spans="1:13" x14ac:dyDescent="0.25">
      <c r="A65" s="52"/>
      <c r="B65" s="19">
        <v>0</v>
      </c>
      <c r="C65" s="20">
        <v>0</v>
      </c>
      <c r="D65" s="20">
        <f t="shared" si="24"/>
        <v>0</v>
      </c>
      <c r="E65" s="20">
        <v>0</v>
      </c>
      <c r="F65" s="38"/>
      <c r="G65" s="19"/>
      <c r="H65" s="20"/>
      <c r="I65" s="20">
        <f t="shared" si="25"/>
        <v>0</v>
      </c>
      <c r="J65" s="20">
        <v>0</v>
      </c>
      <c r="K65" s="38"/>
      <c r="L65" s="20"/>
      <c r="M65" s="20"/>
    </row>
    <row r="66" spans="1:13" x14ac:dyDescent="0.25">
      <c r="A66" s="52"/>
      <c r="B66" s="21">
        <v>-9.5797250390000002E-3</v>
      </c>
      <c r="C66" s="22">
        <v>0</v>
      </c>
      <c r="D66" s="25">
        <f>IF(C66&lt;&gt;0,2*PI()/ABS(C66),0)</f>
        <v>0</v>
      </c>
      <c r="E66" s="26">
        <f>-B66</f>
        <v>9.5797250390000002E-3</v>
      </c>
      <c r="F66" s="38" t="s">
        <v>13</v>
      </c>
      <c r="G66" s="21"/>
      <c r="H66" s="22"/>
      <c r="I66" s="25">
        <f>IF(H66&lt;&gt;0,2*PI()/ABS(H66),0)</f>
        <v>0</v>
      </c>
      <c r="J66" s="26">
        <f>-G66</f>
        <v>0</v>
      </c>
      <c r="K66" s="38" t="s">
        <v>13</v>
      </c>
      <c r="L66" s="20" t="e">
        <f t="shared" si="2"/>
        <v>#DIV/0!</v>
      </c>
      <c r="M66" s="20" t="e">
        <f t="shared" si="12"/>
        <v>#DIV/0!</v>
      </c>
    </row>
    <row r="67" spans="1:13" x14ac:dyDescent="0.25">
      <c r="A67" s="52"/>
      <c r="B67" s="21">
        <v>9.5551847599999998E-4</v>
      </c>
      <c r="C67" s="22">
        <v>0.11814372104400001</v>
      </c>
      <c r="D67" s="25">
        <f>IF(C67&lt;&gt;0,2*PI()/ABS(C67),0)</f>
        <v>53.182558088208118</v>
      </c>
      <c r="E67" s="26">
        <f>-B67</f>
        <v>-9.5551847599999998E-4</v>
      </c>
      <c r="F67" s="38" t="s">
        <v>7</v>
      </c>
      <c r="G67" s="21">
        <v>8.2584600000000005E-3</v>
      </c>
      <c r="H67" s="22">
        <v>0.121471</v>
      </c>
      <c r="I67" s="25">
        <f>IF(H67&lt;&gt;0,2*PI()/ABS(H67),0)</f>
        <v>51.725805395358449</v>
      </c>
      <c r="J67" s="26">
        <f>-G67</f>
        <v>-8.2584600000000005E-3</v>
      </c>
      <c r="K67" s="38" t="s">
        <v>7</v>
      </c>
      <c r="L67" s="20">
        <f t="shared" si="2"/>
        <v>2.8162977487062748</v>
      </c>
      <c r="M67" s="20">
        <f t="shared" si="12"/>
        <v>-88.429822557716577</v>
      </c>
    </row>
    <row r="68" spans="1:13" x14ac:dyDescent="0.25">
      <c r="A68" s="52"/>
      <c r="B68" s="21">
        <v>9.5551847599999998E-4</v>
      </c>
      <c r="C68" s="22">
        <v>-0.11814372104400001</v>
      </c>
      <c r="D68" s="25">
        <f t="shared" ref="D68:D71" si="26">IF(C68&lt;&gt;0,2*PI()/ABS(C68),0)</f>
        <v>53.182558088208118</v>
      </c>
      <c r="E68" s="26">
        <f t="shared" ref="E68:E73" si="27">-B68</f>
        <v>-9.5551847599999998E-4</v>
      </c>
      <c r="F68" s="38" t="s">
        <v>7</v>
      </c>
      <c r="G68" s="21">
        <v>8.2584600000000005E-3</v>
      </c>
      <c r="H68" s="22">
        <v>-0.121471</v>
      </c>
      <c r="I68" s="25">
        <f t="shared" ref="I68:I73" si="28">IF(H68&lt;&gt;0,2*PI()/ABS(H68),0)</f>
        <v>51.725805395358449</v>
      </c>
      <c r="J68" s="26">
        <f t="shared" ref="J68:J73" si="29">-G68</f>
        <v>-8.2584600000000005E-3</v>
      </c>
      <c r="K68" s="38" t="s">
        <v>7</v>
      </c>
      <c r="L68" s="20">
        <f t="shared" si="2"/>
        <v>2.8162977487062748</v>
      </c>
      <c r="M68" s="20">
        <f t="shared" si="12"/>
        <v>-88.429822557716577</v>
      </c>
    </row>
    <row r="69" spans="1:13" x14ac:dyDescent="0.25">
      <c r="A69" s="52"/>
      <c r="B69" s="21">
        <v>-0.86930615121499999</v>
      </c>
      <c r="C69" s="22">
        <v>1.7474737838759999</v>
      </c>
      <c r="D69" s="25">
        <f t="shared" si="26"/>
        <v>3.5955820139648162</v>
      </c>
      <c r="E69" s="26">
        <f t="shared" ref="E69:E70" si="30">-B69</f>
        <v>0.86930615121499999</v>
      </c>
      <c r="F69" s="38" t="s">
        <v>10</v>
      </c>
      <c r="G69" s="21">
        <v>-2.45553</v>
      </c>
      <c r="H69" s="22">
        <v>2.0842200000000002E-2</v>
      </c>
      <c r="I69" s="25">
        <f t="shared" si="28"/>
        <v>301.46459141451408</v>
      </c>
      <c r="J69" s="26">
        <f t="shared" si="29"/>
        <v>2.45553</v>
      </c>
      <c r="K69" s="38" t="s">
        <v>10</v>
      </c>
      <c r="L69" s="20">
        <f t="shared" si="2"/>
        <v>-98.807295411678751</v>
      </c>
      <c r="M69" s="20">
        <f t="shared" si="12"/>
        <v>-64.598023595109808</v>
      </c>
    </row>
    <row r="70" spans="1:13" x14ac:dyDescent="0.25">
      <c r="A70" s="52"/>
      <c r="B70" s="21">
        <v>-0.86930615121499999</v>
      </c>
      <c r="C70" s="22">
        <v>-1.7474737838759999</v>
      </c>
      <c r="D70" s="25">
        <f t="shared" si="26"/>
        <v>3.5955820139648162</v>
      </c>
      <c r="E70" s="26">
        <f t="shared" si="30"/>
        <v>0.86930615121499999</v>
      </c>
      <c r="F70" s="38" t="s">
        <v>10</v>
      </c>
      <c r="G70" s="21">
        <v>-2.45553</v>
      </c>
      <c r="H70" s="22">
        <v>2.0842200000000002E-2</v>
      </c>
      <c r="I70" s="25">
        <f t="shared" si="28"/>
        <v>301.46459141451408</v>
      </c>
      <c r="J70" s="26">
        <f t="shared" si="29"/>
        <v>2.45553</v>
      </c>
      <c r="K70" s="38" t="s">
        <v>10</v>
      </c>
      <c r="L70" s="20">
        <f t="shared" si="2"/>
        <v>-98.807295411678751</v>
      </c>
      <c r="M70" s="20">
        <f t="shared" si="12"/>
        <v>-64.598023595109808</v>
      </c>
    </row>
    <row r="71" spans="1:13" x14ac:dyDescent="0.25">
      <c r="A71" s="52"/>
      <c r="B71" s="21">
        <v>-1.913309516265</v>
      </c>
      <c r="C71" s="22">
        <v>0</v>
      </c>
      <c r="D71" s="25">
        <f t="shared" si="26"/>
        <v>0</v>
      </c>
      <c r="E71" s="26">
        <f t="shared" si="27"/>
        <v>1.913309516265</v>
      </c>
      <c r="F71" s="38" t="s">
        <v>9</v>
      </c>
      <c r="G71" s="21"/>
      <c r="H71" s="22"/>
      <c r="I71" s="25">
        <f t="shared" si="28"/>
        <v>0</v>
      </c>
      <c r="J71" s="26">
        <f t="shared" si="29"/>
        <v>0</v>
      </c>
      <c r="K71" s="38" t="s">
        <v>9</v>
      </c>
      <c r="L71" s="20" t="e">
        <f t="shared" ref="L71:L73" si="31">100*((D71-I71)/I71)</f>
        <v>#DIV/0!</v>
      </c>
      <c r="M71" s="20" t="e">
        <f t="shared" si="12"/>
        <v>#DIV/0!</v>
      </c>
    </row>
    <row r="72" spans="1:13" x14ac:dyDescent="0.25">
      <c r="A72" s="52"/>
      <c r="B72" s="21">
        <v>-1.3019404204330001</v>
      </c>
      <c r="C72" s="22">
        <v>0</v>
      </c>
      <c r="D72" s="25">
        <f>IF(C72&lt;&gt;0,2*PI()/ABS(C72),0)</f>
        <v>0</v>
      </c>
      <c r="E72" s="26">
        <f t="shared" si="27"/>
        <v>1.3019404204330001</v>
      </c>
      <c r="F72" s="38" t="s">
        <v>8</v>
      </c>
      <c r="G72" s="21"/>
      <c r="H72" s="22"/>
      <c r="I72" s="25">
        <f t="shared" si="28"/>
        <v>0</v>
      </c>
      <c r="J72" s="26">
        <f t="shared" si="29"/>
        <v>0</v>
      </c>
      <c r="K72" s="38" t="s">
        <v>8</v>
      </c>
      <c r="L72" s="20" t="e">
        <f t="shared" si="31"/>
        <v>#DIV/0!</v>
      </c>
      <c r="M72" s="20" t="e">
        <f t="shared" si="12"/>
        <v>#DIV/0!</v>
      </c>
    </row>
    <row r="73" spans="1:13" x14ac:dyDescent="0.25">
      <c r="A73" s="53"/>
      <c r="B73" s="23">
        <v>0.85528147397599996</v>
      </c>
      <c r="C73" s="24">
        <v>0</v>
      </c>
      <c r="D73" s="27">
        <f>IF(C73&lt;&gt;0,2*PI()/ABS(C73),0)</f>
        <v>0</v>
      </c>
      <c r="E73" s="28">
        <f t="shared" si="27"/>
        <v>-0.85528147397599996</v>
      </c>
      <c r="F73" s="39" t="s">
        <v>8</v>
      </c>
      <c r="G73" s="23"/>
      <c r="H73" s="24"/>
      <c r="I73" s="27">
        <f t="shared" si="28"/>
        <v>0</v>
      </c>
      <c r="J73" s="28">
        <f t="shared" si="29"/>
        <v>0</v>
      </c>
      <c r="K73" s="39" t="s">
        <v>8</v>
      </c>
      <c r="L73" s="20" t="e">
        <f t="shared" si="31"/>
        <v>#DIV/0!</v>
      </c>
      <c r="M73" s="20" t="e">
        <f t="shared" si="12"/>
        <v>#DIV/0!</v>
      </c>
    </row>
    <row r="78" spans="1:13" x14ac:dyDescent="0.25">
      <c r="B78" s="5"/>
      <c r="C78" s="5"/>
      <c r="D78" s="5"/>
      <c r="E78" s="5"/>
    </row>
    <row r="79" spans="1:13" x14ac:dyDescent="0.25">
      <c r="B79" s="5"/>
      <c r="C79" s="5"/>
      <c r="D79" s="5"/>
      <c r="E79" s="5"/>
    </row>
  </sheetData>
  <mergeCells count="15">
    <mergeCell ref="A59:A73"/>
    <mergeCell ref="B59:E60"/>
    <mergeCell ref="G59:J60"/>
    <mergeCell ref="B2:K2"/>
    <mergeCell ref="B3:E4"/>
    <mergeCell ref="G3:J4"/>
    <mergeCell ref="A3:A17"/>
    <mergeCell ref="A22:A36"/>
    <mergeCell ref="B22:E23"/>
    <mergeCell ref="G22:J23"/>
    <mergeCell ref="A1:K1"/>
    <mergeCell ref="B39:K39"/>
    <mergeCell ref="A40:A54"/>
    <mergeCell ref="B40:E41"/>
    <mergeCell ref="G40:J41"/>
  </mergeCells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8659-E5B5-4B46-8927-13DA5AAEA5CF}">
  <dimension ref="C3:P18"/>
  <sheetViews>
    <sheetView workbookViewId="0">
      <selection activeCell="J25" sqref="J25"/>
    </sheetView>
  </sheetViews>
  <sheetFormatPr defaultRowHeight="15" x14ac:dyDescent="0.25"/>
  <cols>
    <col min="3" max="4" width="11.28515625" bestFit="1" customWidth="1"/>
    <col min="6" max="6" width="11.5703125" bestFit="1" customWidth="1"/>
    <col min="7" max="7" width="11.28515625" bestFit="1" customWidth="1"/>
    <col min="8" max="8" width="11.5703125" bestFit="1" customWidth="1"/>
    <col min="9" max="9" width="10.5703125" bestFit="1" customWidth="1"/>
    <col min="10" max="10" width="10" bestFit="1" customWidth="1"/>
    <col min="12" max="12" width="11.5703125" bestFit="1" customWidth="1"/>
    <col min="13" max="13" width="11.28515625" bestFit="1" customWidth="1"/>
    <col min="14" max="14" width="13.7109375" bestFit="1" customWidth="1"/>
    <col min="15" max="15" width="12.5703125" bestFit="1" customWidth="1"/>
    <col min="16" max="16" width="10" bestFit="1" customWidth="1"/>
  </cols>
  <sheetData>
    <row r="3" spans="3:16" x14ac:dyDescent="0.25">
      <c r="F3" s="58" t="s">
        <v>21</v>
      </c>
      <c r="G3" s="58"/>
      <c r="H3" s="58"/>
      <c r="I3" s="58"/>
      <c r="J3" s="58"/>
      <c r="K3" s="43"/>
      <c r="L3" s="58" t="s">
        <v>21</v>
      </c>
      <c r="M3" s="58"/>
      <c r="N3" s="58"/>
      <c r="O3" s="58"/>
      <c r="P3" s="58"/>
    </row>
    <row r="4" spans="3:16" x14ac:dyDescent="0.25">
      <c r="F4" s="62" t="s">
        <v>4</v>
      </c>
      <c r="G4" s="61"/>
      <c r="H4" s="61"/>
      <c r="I4" s="61"/>
      <c r="J4" s="3"/>
      <c r="L4" s="62" t="s">
        <v>20</v>
      </c>
      <c r="M4" s="61"/>
      <c r="N4" s="61"/>
      <c r="O4" s="61"/>
      <c r="P4" s="3"/>
    </row>
    <row r="5" spans="3:16" x14ac:dyDescent="0.25">
      <c r="C5" s="5"/>
      <c r="D5" s="5"/>
      <c r="F5" s="63"/>
      <c r="G5" s="47"/>
      <c r="H5" s="47"/>
      <c r="I5" s="47"/>
      <c r="J5" s="6" t="s">
        <v>6</v>
      </c>
      <c r="L5" s="63"/>
      <c r="M5" s="47"/>
      <c r="N5" s="47"/>
      <c r="O5" s="47"/>
      <c r="P5" s="6" t="s">
        <v>6</v>
      </c>
    </row>
    <row r="6" spans="3:16" x14ac:dyDescent="0.25">
      <c r="C6" s="5"/>
      <c r="D6" s="5"/>
      <c r="F6" s="14" t="s">
        <v>0</v>
      </c>
      <c r="G6" s="15"/>
      <c r="H6" s="15" t="s">
        <v>1</v>
      </c>
      <c r="I6" s="15" t="s">
        <v>2</v>
      </c>
      <c r="J6" s="16"/>
      <c r="L6" s="14" t="s">
        <v>0</v>
      </c>
      <c r="M6" s="15"/>
      <c r="N6" s="15" t="s">
        <v>1</v>
      </c>
      <c r="O6" s="15" t="s">
        <v>2</v>
      </c>
      <c r="P6" s="16"/>
    </row>
    <row r="7" spans="3:16" x14ac:dyDescent="0.25">
      <c r="C7" s="5"/>
      <c r="D7" s="5"/>
      <c r="F7" s="4">
        <v>0</v>
      </c>
      <c r="G7" s="5">
        <v>0</v>
      </c>
      <c r="H7" s="10" t="s">
        <v>3</v>
      </c>
      <c r="I7" s="10">
        <v>0</v>
      </c>
      <c r="J7" s="3"/>
      <c r="L7" s="4"/>
      <c r="M7" s="5"/>
      <c r="N7" s="10"/>
      <c r="O7" s="10"/>
      <c r="P7" s="3"/>
    </row>
    <row r="8" spans="3:16" x14ac:dyDescent="0.25">
      <c r="C8" s="5"/>
      <c r="D8" s="5"/>
      <c r="F8" s="4">
        <v>0</v>
      </c>
      <c r="G8" s="5">
        <v>0</v>
      </c>
      <c r="H8" s="5" t="s">
        <v>3</v>
      </c>
      <c r="I8" s="5">
        <v>0</v>
      </c>
      <c r="J8" s="6"/>
      <c r="L8" s="4"/>
      <c r="M8" s="5"/>
      <c r="N8" s="5"/>
      <c r="O8" s="5"/>
      <c r="P8" s="6"/>
    </row>
    <row r="9" spans="3:16" x14ac:dyDescent="0.25">
      <c r="C9" s="5"/>
      <c r="D9" s="5"/>
      <c r="F9" s="4">
        <v>0</v>
      </c>
      <c r="G9" s="5">
        <v>0</v>
      </c>
      <c r="H9" s="5" t="s">
        <v>3</v>
      </c>
      <c r="I9" s="5">
        <v>0</v>
      </c>
      <c r="J9" s="6"/>
      <c r="L9" s="4"/>
      <c r="M9" s="5"/>
      <c r="N9" s="5"/>
      <c r="O9" s="5"/>
      <c r="P9" s="6"/>
    </row>
    <row r="10" spans="3:16" x14ac:dyDescent="0.25">
      <c r="C10" s="5"/>
      <c r="D10" s="5"/>
      <c r="F10" s="4">
        <v>0</v>
      </c>
      <c r="G10" s="5">
        <v>0</v>
      </c>
      <c r="H10" s="5" t="s">
        <v>3</v>
      </c>
      <c r="I10" s="5">
        <v>0</v>
      </c>
      <c r="J10" s="6"/>
      <c r="L10" s="4"/>
      <c r="M10" s="5"/>
      <c r="N10" s="5"/>
      <c r="O10" s="5"/>
      <c r="P10" s="6"/>
    </row>
    <row r="11" spans="3:16" x14ac:dyDescent="0.25">
      <c r="C11" s="5"/>
      <c r="D11" s="5"/>
      <c r="F11" s="4">
        <v>-4.8838096251000003E-2</v>
      </c>
      <c r="G11" s="5">
        <v>0</v>
      </c>
      <c r="H11" s="33" t="e">
        <f>2*PI()/ABS(G11)</f>
        <v>#DIV/0!</v>
      </c>
      <c r="I11" s="34">
        <f>-F11</f>
        <v>4.8838096251000003E-2</v>
      </c>
      <c r="J11" s="6" t="s">
        <v>13</v>
      </c>
      <c r="L11" s="4"/>
      <c r="M11" s="5"/>
      <c r="N11" s="33" t="s">
        <v>3</v>
      </c>
      <c r="O11" s="34">
        <v>4.8800000000000003E-2</v>
      </c>
      <c r="P11" s="6" t="s">
        <v>13</v>
      </c>
    </row>
    <row r="12" spans="3:16" x14ac:dyDescent="0.25">
      <c r="C12" s="5"/>
      <c r="D12" s="5"/>
      <c r="F12" s="4">
        <v>-7.3274731929999998E-3</v>
      </c>
      <c r="G12" s="5">
        <v>0.38410886993999999</v>
      </c>
      <c r="H12" s="29">
        <f>2*PI()/ABS(G12)</f>
        <v>16.357824041296041</v>
      </c>
      <c r="I12" s="30">
        <f>-F12</f>
        <v>7.3274731929999998E-3</v>
      </c>
      <c r="J12" s="6" t="s">
        <v>7</v>
      </c>
      <c r="L12" s="4"/>
      <c r="M12" s="5"/>
      <c r="N12" s="33">
        <v>16.399999999999999</v>
      </c>
      <c r="O12" s="34">
        <v>7.4000000000000003E-3</v>
      </c>
      <c r="P12" s="6" t="s">
        <v>7</v>
      </c>
    </row>
    <row r="13" spans="3:16" x14ac:dyDescent="0.25">
      <c r="C13" s="5"/>
      <c r="D13" s="5"/>
      <c r="F13" s="4">
        <v>-7.3274731929999998E-3</v>
      </c>
      <c r="G13" s="5">
        <v>-0.38410886993999999</v>
      </c>
      <c r="H13" s="29">
        <f t="shared" ref="H13:H18" si="0">2*PI()/ABS(G13)</f>
        <v>16.357824041296041</v>
      </c>
      <c r="I13" s="30">
        <f t="shared" ref="I13:I18" si="1">-F13</f>
        <v>7.3274731929999998E-3</v>
      </c>
      <c r="J13" s="6" t="s">
        <v>7</v>
      </c>
      <c r="L13" s="4"/>
      <c r="M13" s="5"/>
      <c r="N13" s="33">
        <v>16.399999999999999</v>
      </c>
      <c r="O13" s="34">
        <v>7.4000000000000003E-3</v>
      </c>
      <c r="P13" s="6" t="s">
        <v>7</v>
      </c>
    </row>
    <row r="14" spans="3:16" x14ac:dyDescent="0.25">
      <c r="C14" s="5"/>
      <c r="D14" s="5"/>
      <c r="F14" s="4">
        <v>-0.58980555856799999</v>
      </c>
      <c r="G14" s="5">
        <v>2.4127202569059998</v>
      </c>
      <c r="H14" s="29">
        <f t="shared" si="0"/>
        <v>2.6041913848880909</v>
      </c>
      <c r="I14" s="30">
        <f t="shared" si="1"/>
        <v>0.58980555856799999</v>
      </c>
      <c r="J14" s="6" t="s">
        <v>8</v>
      </c>
      <c r="L14" s="4"/>
      <c r="M14" s="5"/>
      <c r="N14" s="33">
        <v>2.61</v>
      </c>
      <c r="O14" s="34">
        <v>0.59099999999999997</v>
      </c>
      <c r="P14" s="6" t="s">
        <v>8</v>
      </c>
    </row>
    <row r="15" spans="3:16" x14ac:dyDescent="0.25">
      <c r="C15" s="5"/>
      <c r="D15" s="5"/>
      <c r="F15" s="4">
        <v>-0.58980555856799999</v>
      </c>
      <c r="G15" s="5">
        <v>-2.4127202569059998</v>
      </c>
      <c r="H15" s="29">
        <f t="shared" si="0"/>
        <v>2.6041913848880909</v>
      </c>
      <c r="I15" s="30">
        <f t="shared" si="1"/>
        <v>0.58980555856799999</v>
      </c>
      <c r="J15" s="6" t="s">
        <v>8</v>
      </c>
      <c r="L15" s="4"/>
      <c r="M15" s="5"/>
      <c r="N15" s="33">
        <v>2.61</v>
      </c>
      <c r="O15" s="34">
        <v>0.59099999999999997</v>
      </c>
      <c r="P15" s="6" t="s">
        <v>8</v>
      </c>
    </row>
    <row r="16" spans="3:16" x14ac:dyDescent="0.25">
      <c r="C16" s="5"/>
      <c r="D16" s="5"/>
      <c r="F16" s="4">
        <v>-2.484346636603</v>
      </c>
      <c r="G16" s="5">
        <v>2.5749366935200002</v>
      </c>
      <c r="H16" s="29">
        <f t="shared" si="0"/>
        <v>2.4401319546968439</v>
      </c>
      <c r="I16" s="30">
        <f t="shared" si="1"/>
        <v>2.484346636603</v>
      </c>
      <c r="J16" s="6" t="s">
        <v>10</v>
      </c>
      <c r="L16" s="4"/>
      <c r="M16" s="5"/>
      <c r="N16" s="33">
        <v>2.44</v>
      </c>
      <c r="O16" s="34">
        <v>2.48</v>
      </c>
      <c r="P16" s="6" t="s">
        <v>10</v>
      </c>
    </row>
    <row r="17" spans="6:16" x14ac:dyDescent="0.25">
      <c r="F17" s="4">
        <v>-2.484346636603</v>
      </c>
      <c r="G17" s="5">
        <v>-2.5749366935200002</v>
      </c>
      <c r="H17" s="29">
        <f t="shared" si="0"/>
        <v>2.4401319546968439</v>
      </c>
      <c r="I17" s="30">
        <f t="shared" si="1"/>
        <v>2.484346636603</v>
      </c>
      <c r="J17" s="6" t="s">
        <v>10</v>
      </c>
      <c r="L17" s="4"/>
      <c r="M17" s="5"/>
      <c r="N17" s="33">
        <v>2.44</v>
      </c>
      <c r="O17" s="34">
        <v>2.48</v>
      </c>
      <c r="P17" s="6" t="s">
        <v>10</v>
      </c>
    </row>
    <row r="18" spans="6:16" x14ac:dyDescent="0.25">
      <c r="F18" s="7">
        <v>-8.6711207954810003</v>
      </c>
      <c r="G18" s="8">
        <v>0</v>
      </c>
      <c r="H18" s="31" t="e">
        <f t="shared" si="0"/>
        <v>#DIV/0!</v>
      </c>
      <c r="I18" s="32">
        <f t="shared" si="1"/>
        <v>8.6711207954810003</v>
      </c>
      <c r="J18" s="9" t="s">
        <v>9</v>
      </c>
      <c r="L18" s="7"/>
      <c r="M18" s="8"/>
      <c r="N18" s="35" t="s">
        <v>3</v>
      </c>
      <c r="O18" s="36">
        <v>8.67</v>
      </c>
      <c r="P18" s="9" t="s">
        <v>9</v>
      </c>
    </row>
  </sheetData>
  <mergeCells count="4">
    <mergeCell ref="F4:I5"/>
    <mergeCell ref="L4:O5"/>
    <mergeCell ref="F3:J3"/>
    <mergeCell ref="L3:P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0984AB-BAC4-4910-99BC-031849E16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Trim - 0 deg bank</vt:lpstr>
      <vt:lpstr>Trim - 60 deg bank</vt:lpstr>
      <vt:lpstr>Derivatives - 0 deg bank</vt:lpstr>
      <vt:lpstr>Derivatives - 60 deg bank</vt:lpstr>
      <vt:lpstr>F-16</vt:lpstr>
      <vt:lpstr>BIRE</vt:lpstr>
      <vt:lpstr>9.8.1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Abraham</dc:creator>
  <cp:lastModifiedBy>Troy Abraham</cp:lastModifiedBy>
  <dcterms:created xsi:type="dcterms:W3CDTF">2023-04-05T21:53:54Z</dcterms:created>
  <dcterms:modified xsi:type="dcterms:W3CDTF">2023-04-28T15:49:31Z</dcterms:modified>
</cp:coreProperties>
</file>