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ya\Desktop\Aerolab\git_repos\BIRE\dynamic_stability\dynamics_results_austin\"/>
    </mc:Choice>
  </mc:AlternateContent>
  <xr:revisionPtr revIDLastSave="0" documentId="13_ncr:1_{EE1B341C-42F0-4C11-BE81-46389CEB57A6}" xr6:coauthVersionLast="47" xr6:coauthVersionMax="47" xr10:uidLastSave="{00000000-0000-0000-0000-000000000000}"/>
  <bookViews>
    <workbookView xWindow="-28920" yWindow="-120" windowWidth="29040" windowHeight="15840" activeTab="3" xr2:uid="{42C60800-AD14-4DD4-ADE0-AD0420481CA9}"/>
  </bookViews>
  <sheets>
    <sheet name="PreliminaryResults" sheetId="1" r:id="rId1"/>
    <sheet name="CGShiftStudy" sheetId="2" r:id="rId2"/>
    <sheet name="CGShiftStudy 2" sheetId="4" r:id="rId3"/>
    <sheet name="CGShiftStudy CURRENT" sheetId="3" r:id="rId4"/>
    <sheet name="StaticStability" sheetId="5" r:id="rId5"/>
    <sheet name="HandlingQualit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G2" i="6"/>
  <c r="H2" i="6"/>
  <c r="I2" i="6"/>
  <c r="G3" i="6"/>
  <c r="H3" i="6"/>
  <c r="I3" i="6"/>
  <c r="G4" i="6"/>
  <c r="H4" i="6"/>
  <c r="I4" i="6"/>
  <c r="G5" i="6"/>
  <c r="H5" i="6"/>
  <c r="I5" i="6"/>
  <c r="G6" i="6"/>
  <c r="H6" i="6"/>
  <c r="I6" i="6"/>
  <c r="F3" i="6"/>
  <c r="F4" i="6"/>
  <c r="F5" i="6"/>
  <c r="F6" i="6"/>
  <c r="F2" i="6"/>
  <c r="C25" i="6"/>
  <c r="D25" i="6"/>
  <c r="E25" i="6"/>
  <c r="B25" i="6"/>
  <c r="C33" i="6"/>
  <c r="D33" i="6"/>
  <c r="E33" i="6"/>
  <c r="B33" i="6"/>
  <c r="C16" i="6"/>
  <c r="B16" i="6"/>
  <c r="E11" i="6"/>
  <c r="E16" i="6" s="1"/>
  <c r="D11" i="6"/>
  <c r="D16" i="6" s="1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3" i="5"/>
  <c r="T32" i="3"/>
  <c r="V30" i="4"/>
  <c r="U30" i="4"/>
  <c r="U30" i="3"/>
  <c r="V30" i="3"/>
</calcChain>
</file>

<file path=xl/sharedStrings.xml><?xml version="1.0" encoding="utf-8"?>
<sst xmlns="http://schemas.openxmlformats.org/spreadsheetml/2006/main" count="2726" uniqueCount="1811">
  <si>
    <t>---------------------------------------------------------------------</t>
  </si>
  <si>
    <t>Eigenvalue [1/s] = (-2.33695,0)</t>
  </si>
  <si>
    <t>Eigenvector =  (0.000524807,0)</t>
  </si>
  <si>
    <t xml:space="preserve"> (0.000557597,0)</t>
  </si>
  <si>
    <t xml:space="preserve">    (0.987567,0)</t>
  </si>
  <si>
    <t>(-1.40572e-05,0)</t>
  </si>
  <si>
    <t xml:space="preserve"> (-0.00228626,0)</t>
  </si>
  <si>
    <t xml:space="preserve"> (2.25353e-06,0)</t>
  </si>
  <si>
    <t xml:space="preserve"> (-0.00643894,0)</t>
  </si>
  <si>
    <t xml:space="preserve"> (0.000500209,0)</t>
  </si>
  <si>
    <t xml:space="preserve">   (-0.157047,0)</t>
  </si>
  <si>
    <t xml:space="preserve"> (5.97702e-06,0)</t>
  </si>
  <si>
    <t xml:space="preserve"> (0.000978308,0)</t>
  </si>
  <si>
    <t>(-9.65057e-07,0)</t>
  </si>
  <si>
    <t>Damping rate, sigma [1/s] =                    2.33695</t>
  </si>
  <si>
    <t>99% Damping Time [s] =                         1.97059</t>
  </si>
  <si>
    <t>Eigenvalue [1/s] = (-3.04879,0)</t>
  </si>
  <si>
    <t>Eigenvector =  (4.13766e-06,0)</t>
  </si>
  <si>
    <t xml:space="preserve">   (-0.880435,0)</t>
  </si>
  <si>
    <t xml:space="preserve">  (0.00169523,0)</t>
  </si>
  <si>
    <t xml:space="preserve">  (-0.0923665,0)</t>
  </si>
  <si>
    <t>(-5.92107e-06,0)</t>
  </si>
  <si>
    <t xml:space="preserve"> (-0.00257012,0)</t>
  </si>
  <si>
    <t>(-7.37268e-06,0)</t>
  </si>
  <si>
    <t xml:space="preserve">   (-0.464083,0)</t>
  </si>
  <si>
    <t>(-0.000151999,0)</t>
  </si>
  <si>
    <t xml:space="preserve">   (0.0303294,0)</t>
  </si>
  <si>
    <t xml:space="preserve">  (1.9421e-06,0)</t>
  </si>
  <si>
    <t xml:space="preserve"> (0.000843654,0)</t>
  </si>
  <si>
    <t>Damping rate, sigma [1/s] =                    3.04879</t>
  </si>
  <si>
    <t>99% Damping Time [s] =                         1.51049</t>
  </si>
  <si>
    <t>Eigenvalue [1/s] = (0.646946,0)</t>
  </si>
  <si>
    <t>Eigenvector =  (-0.0550392,0)</t>
  </si>
  <si>
    <t>(-0.00275417,0)</t>
  </si>
  <si>
    <t xml:space="preserve">   (0.383219,0)</t>
  </si>
  <si>
    <t>(1.23095e-05,0)</t>
  </si>
  <si>
    <t>(0.000997076,0)</t>
  </si>
  <si>
    <t xml:space="preserve"> (4.3022e-06,0)</t>
  </si>
  <si>
    <t xml:space="preserve">  (-0.121306,0)</t>
  </si>
  <si>
    <t xml:space="preserve">  (0.0107741,0)</t>
  </si>
  <si>
    <t xml:space="preserve">  (-0.913932,0)</t>
  </si>
  <si>
    <t>(1.92902e-05,0)</t>
  </si>
  <si>
    <t xml:space="preserve"> (0.00154121,0)</t>
  </si>
  <si>
    <t>(6.65523e-06,0)</t>
  </si>
  <si>
    <t>Damping rate, sigma [1/s] =                    -0.646946</t>
  </si>
  <si>
    <t>Doubling time [s] =                            1.07141</t>
  </si>
  <si>
    <t>Eigenvalue [1/s] = (0.0672277,0.282279)</t>
  </si>
  <si>
    <t>Eigenvector =      (8.201e-05,7.7652e-05)</t>
  </si>
  <si>
    <t xml:space="preserve">      (-0.208107,-0.142768)</t>
  </si>
  <si>
    <t xml:space="preserve">   (0.000170366,2.5192e-05)</t>
  </si>
  <si>
    <t xml:space="preserve">   (0.00113775,0.000614096)</t>
  </si>
  <si>
    <t xml:space="preserve">  (2.89634e-07,1.35474e-07)</t>
  </si>
  <si>
    <t xml:space="preserve">  (0.00014752,-3.51738e-05)</t>
  </si>
  <si>
    <t xml:space="preserve"> (0.000393055,-0.000159686)</t>
  </si>
  <si>
    <t xml:space="preserve">      (-0.466123,-0.847946)</t>
  </si>
  <si>
    <t xml:space="preserve">    (0.00169317,0.00134992)</t>
  </si>
  <si>
    <t xml:space="preserve">   (0.00296712,-0.00334463)</t>
  </si>
  <si>
    <t xml:space="preserve">  (6.8542e-07,-8.62815e-07)</t>
  </si>
  <si>
    <t>(-1.35621e-07,-0.000523043)</t>
  </si>
  <si>
    <t>Damping rate, sigma [1/s] =                    -0.0672277</t>
  </si>
  <si>
    <t>Damped natural frequency, omega_d [rad/s] =    0.282279</t>
  </si>
  <si>
    <t>Damped period [s] =                            22.2588</t>
  </si>
  <si>
    <t>Undamped natural frequency, omega_n [rad/s] =  0.247138</t>
  </si>
  <si>
    <t>Damping ratio, zeta =                          -0.707107</t>
  </si>
  <si>
    <t>Doubling time [s] =                            10.3104</t>
  </si>
  <si>
    <t>Eigenvalue [1/s] = (0.0672277,-0.282279)</t>
  </si>
  <si>
    <t>Eigenvector =    (8.201e-05,-7.7652e-05)</t>
  </si>
  <si>
    <t xml:space="preserve">      (-0.208107,0.142768)</t>
  </si>
  <si>
    <t xml:space="preserve"> (0.000170366,-2.5192e-05)</t>
  </si>
  <si>
    <t xml:space="preserve"> (0.00113775,-0.000614096)</t>
  </si>
  <si>
    <t>(2.89634e-07,-1.35474e-07)</t>
  </si>
  <si>
    <t xml:space="preserve">  (0.00014752,3.51738e-05)</t>
  </si>
  <si>
    <t xml:space="preserve"> (0.000393055,0.000159686)</t>
  </si>
  <si>
    <t xml:space="preserve">      (-0.466123,0.847946)</t>
  </si>
  <si>
    <t xml:space="preserve">  (0.00169317,-0.00134992)</t>
  </si>
  <si>
    <t xml:space="preserve">   (0.00296712,0.00334463)</t>
  </si>
  <si>
    <t xml:space="preserve">  (6.8542e-07,8.62815e-07)</t>
  </si>
  <si>
    <t>(-1.35621e-07,0.000523043)</t>
  </si>
  <si>
    <t>Undamped natural frequency, omega_n [rad/s] =  0.152064</t>
  </si>
  <si>
    <t>Damping ratio, zeta =                          0.707107</t>
  </si>
  <si>
    <t>Eigenvalue [1/s] = (-0.212311,0)</t>
  </si>
  <si>
    <t>Eigenvector =  (4.76138e-05,0)</t>
  </si>
  <si>
    <t xml:space="preserve">  (-0.0403658,0)</t>
  </si>
  <si>
    <t>(-5.32338e-05,0)</t>
  </si>
  <si>
    <t xml:space="preserve"> (0.000217896,0)</t>
  </si>
  <si>
    <t>(-5.36763e-08,0)</t>
  </si>
  <si>
    <t>(-5.75223e-05,0)</t>
  </si>
  <si>
    <t>(-0.000184325,0)</t>
  </si>
  <si>
    <t xml:space="preserve">   (-0.999184,0)</t>
  </si>
  <si>
    <t xml:space="preserve">  (0.00101378,0)</t>
  </si>
  <si>
    <t xml:space="preserve"> (-0.00101558,0)</t>
  </si>
  <si>
    <t xml:space="preserve"> (2.52819e-07,0)</t>
  </si>
  <si>
    <t xml:space="preserve"> (0.000271146,0)</t>
  </si>
  <si>
    <t>Damping rate, sigma [1/s] =                    0.212311</t>
  </si>
  <si>
    <t>99% Damping Time [s] =                         21.6907</t>
  </si>
  <si>
    <t>Eigenvalue [1/s] = (-0.00442273,0.0965764)</t>
  </si>
  <si>
    <t>Eigenvector =     (-0.0432973,-0.0113875)</t>
  </si>
  <si>
    <t xml:space="preserve"> (-2.42306e-05,0.000107694)</t>
  </si>
  <si>
    <t xml:space="preserve">  (-0.00231219,-0.00116977)</t>
  </si>
  <si>
    <t xml:space="preserve"> (6.67541e-08,-5.68624e-07)</t>
  </si>
  <si>
    <t xml:space="preserve"> (-1.22634e-05,-4.2201e-06)</t>
  </si>
  <si>
    <t>(-2.79103e-07,-3.10589e-08)</t>
  </si>
  <si>
    <t xml:space="preserve">        (-0.131322,0.44512)</t>
  </si>
  <si>
    <t xml:space="preserve">    (0.0179213,0.000168193)</t>
  </si>
  <si>
    <t xml:space="preserve">      (-0.861015,-0.202343)</t>
  </si>
  <si>
    <t>(-5.91455e-06,-3.05995e-07)</t>
  </si>
  <si>
    <t xml:space="preserve"> (-3.78026e-05,0.000128713)</t>
  </si>
  <si>
    <t xml:space="preserve"> (-1.89005e-07,2.90089e-06)</t>
  </si>
  <si>
    <t>Damping rate, sigma [1/s] =                    0.00442273</t>
  </si>
  <si>
    <t>Damped natural frequency, omega_d [rad/s] =    0.0965764</t>
  </si>
  <si>
    <t>Damped period [s] =                            65.0592</t>
  </si>
  <si>
    <t>Undamped natural frequency, omega_n [rad/s] =  0.0651625</t>
  </si>
  <si>
    <t>99% Damping Time [s] =                         1041.25</t>
  </si>
  <si>
    <t>Eigenvalue [1/s] = (-0.00442273,-0.0965764)</t>
  </si>
  <si>
    <t>Eigenvector =      (-0.0432973,0.0113875)</t>
  </si>
  <si>
    <t>(-2.42306e-05,-0.000107694)</t>
  </si>
  <si>
    <t xml:space="preserve">   (-0.00231219,0.00116977)</t>
  </si>
  <si>
    <t xml:space="preserve">  (6.67541e-08,5.68624e-07)</t>
  </si>
  <si>
    <t xml:space="preserve">  (-1.22634e-05,4.2201e-06)</t>
  </si>
  <si>
    <t xml:space="preserve"> (-2.79103e-07,3.10589e-08)</t>
  </si>
  <si>
    <t xml:space="preserve">       (-0.131322,-0.44512)</t>
  </si>
  <si>
    <t xml:space="preserve">   (0.0179213,-0.000168193)</t>
  </si>
  <si>
    <t xml:space="preserve">       (-0.861015,0.202343)</t>
  </si>
  <si>
    <t xml:space="preserve"> (-5.91455e-06,3.05995e-07)</t>
  </si>
  <si>
    <t>(-3.78026e-05,-0.000128713)</t>
  </si>
  <si>
    <t>(-1.89005e-07,-2.90089e-06)</t>
  </si>
  <si>
    <t>Undamped natural frequency, omega_n [rad/s] =  0.0714171</t>
  </si>
  <si>
    <t>Eigenvalue [1/s] = (3.41187e-11,4.89888e-06)</t>
  </si>
  <si>
    <t>Eigenvector =   (4.67763e-17,1.07673e-11)</t>
  </si>
  <si>
    <t>(-7.51271e-16,-8.93253e-13)</t>
  </si>
  <si>
    <t>(-2.30903e-16,-8.23291e-12)</t>
  </si>
  <si>
    <t xml:space="preserve">   (3.7414e-18,1.50827e-15)</t>
  </si>
  <si>
    <t>(-2.80744e-19,-1.06579e-14)</t>
  </si>
  <si>
    <t xml:space="preserve"> (-1.69831e-18,-3.7801e-14)</t>
  </si>
  <si>
    <t xml:space="preserve">  (2.18183e-06,1.46227e-11)</t>
  </si>
  <si>
    <t xml:space="preserve">             (3.1161e-05,1)</t>
  </si>
  <si>
    <t xml:space="preserve"> (-4.35879e-07,2.23558e-10)</t>
  </si>
  <si>
    <t>(-3.61509e-17,-7.50085e-13)</t>
  </si>
  <si>
    <t xml:space="preserve"> (1.38408e-18,-1.03212e-14)</t>
  </si>
  <si>
    <t xml:space="preserve"> (-7.73299e-09,2.93417e-13)</t>
  </si>
  <si>
    <t>Damping rate, sigma [1/s] =                    -3.41187e-11</t>
  </si>
  <si>
    <t>Damped natural frequency, omega_d [rad/s] =    4.89888e-06</t>
  </si>
  <si>
    <t>Damped period [s] =                            1.28257e+06</t>
  </si>
  <si>
    <t>Undamped natural frequency, omega_n [rad/s] =  3.46406e-06</t>
  </si>
  <si>
    <t>Doubling time [s] =                            2.03157e+10</t>
  </si>
  <si>
    <t>Eigenvalue [1/s] = (3.41187e-11,-4.89888e-06)</t>
  </si>
  <si>
    <t>Eigenvector =  (4.67763e-17,-1.07673e-11)</t>
  </si>
  <si>
    <t xml:space="preserve"> (-7.51271e-16,8.93253e-13)</t>
  </si>
  <si>
    <t xml:space="preserve"> (-2.30903e-16,8.23291e-12)</t>
  </si>
  <si>
    <t xml:space="preserve">  (3.7414e-18,-1.50827e-15)</t>
  </si>
  <si>
    <t xml:space="preserve"> (-2.80744e-19,1.06579e-14)</t>
  </si>
  <si>
    <t xml:space="preserve">  (-1.69831e-18,3.7801e-14)</t>
  </si>
  <si>
    <t xml:space="preserve"> (2.18183e-06,-1.46227e-11)</t>
  </si>
  <si>
    <t xml:space="preserve">            (3.1161e-05,-1)</t>
  </si>
  <si>
    <t>(-4.35879e-07,-2.23558e-10)</t>
  </si>
  <si>
    <t xml:space="preserve"> (-3.61509e-17,7.50085e-13)</t>
  </si>
  <si>
    <t xml:space="preserve">  (1.38408e-18,1.03212e-14)</t>
  </si>
  <si>
    <t>(-7.73299e-09,-2.93417e-13)</t>
  </si>
  <si>
    <t>Undamped natural frequency, omega_n [rad/s] =  3.46401e-06</t>
  </si>
  <si>
    <t>Eigenvalue [1/s] = (-8.3025e-15,0)</t>
  </si>
  <si>
    <t>Eigenvector = (-7.69585e-15,0)</t>
  </si>
  <si>
    <t>(-2.90547e-14,0)</t>
  </si>
  <si>
    <t xml:space="preserve">  (7.8085e-14,0)</t>
  </si>
  <si>
    <t>(-3.04498e-16,0)</t>
  </si>
  <si>
    <t xml:space="preserve"> (7.11214e-17,0)</t>
  </si>
  <si>
    <t>(-1.07984e-17,0)</t>
  </si>
  <si>
    <t xml:space="preserve">    (0.968854,0)</t>
  </si>
  <si>
    <t>(-6.63781e-05,0)</t>
  </si>
  <si>
    <t xml:space="preserve">    (0.247633,0)</t>
  </si>
  <si>
    <t>(-2.20402e-16,0)</t>
  </si>
  <si>
    <t xml:space="preserve"> (1.25338e-16,0)</t>
  </si>
  <si>
    <t>(-3.57776e-17,0)</t>
  </si>
  <si>
    <t>Damping rate, sigma [1/s] =                    8.3025e-15</t>
  </si>
  <si>
    <t>99% Damping Time [s] =                         5.54673e+14</t>
  </si>
  <si>
    <t>Eigenvalue [1/s] = (4.66133e-15,0)</t>
  </si>
  <si>
    <t>Eigenvector =  (4.68789e-15,0)</t>
  </si>
  <si>
    <t>(-4.01101e-14,0)</t>
  </si>
  <si>
    <t xml:space="preserve"> (1.71711e-14,0)</t>
  </si>
  <si>
    <t>(-3.39277e-16,0)</t>
  </si>
  <si>
    <t>(-1.73374e-17,0)</t>
  </si>
  <si>
    <t>(-1.37113e-17,0)</t>
  </si>
  <si>
    <t xml:space="preserve">     (0.99304,0)</t>
  </si>
  <si>
    <t xml:space="preserve"> (0.000323751,0)</t>
  </si>
  <si>
    <t xml:space="preserve">   (-0.117778,0)</t>
  </si>
  <si>
    <t>(-2.82548e-16,0)</t>
  </si>
  <si>
    <t xml:space="preserve"> (2.60345e-17,0)</t>
  </si>
  <si>
    <t>(-5.37793e-17,0)</t>
  </si>
  <si>
    <t>Damping rate, sigma [1/s] =                    -4.66133e-15</t>
  </si>
  <si>
    <t>Doubling time [s] =                            1.48702e+14</t>
  </si>
  <si>
    <t>BIRE</t>
  </si>
  <si>
    <t>Aircraft</t>
  </si>
  <si>
    <t>Bank</t>
  </si>
  <si>
    <t>Properties</t>
  </si>
  <si>
    <t>Eigenvalue [1/s] = (-3.04999,0)</t>
  </si>
  <si>
    <t>Eigenvector =  (-0.00173779,0)</t>
  </si>
  <si>
    <t xml:space="preserve">    (0.894115,0)</t>
  </si>
  <si>
    <t xml:space="preserve">   (0.0207553,0)</t>
  </si>
  <si>
    <t xml:space="preserve">   (0.0909681,0)</t>
  </si>
  <si>
    <t>(-0.000613905,0)</t>
  </si>
  <si>
    <t xml:space="preserve">  (0.00275162,0)</t>
  </si>
  <si>
    <t xml:space="preserve"> (-0.00106227,0)</t>
  </si>
  <si>
    <t xml:space="preserve">    (0.435078,0)</t>
  </si>
  <si>
    <t xml:space="preserve">  (-0.0406955,0)</t>
  </si>
  <si>
    <t xml:space="preserve">  (-0.0298589,0)</t>
  </si>
  <si>
    <t xml:space="preserve"> (0.000317284,0)</t>
  </si>
  <si>
    <t>(-0.000779628,0)</t>
  </si>
  <si>
    <t>Damping rate, sigma [1/s] =                    3.04999</t>
  </si>
  <si>
    <t>99% Damping Time [s] =                         1.5099</t>
  </si>
  <si>
    <t>Eigenvalue [1/s] = (-2.33593,0)</t>
  </si>
  <si>
    <t>Eigenvector =   (0.00192839,0)</t>
  </si>
  <si>
    <t xml:space="preserve">  (-0.0024973,0)</t>
  </si>
  <si>
    <t xml:space="preserve">    (0.961959,0)</t>
  </si>
  <si>
    <t xml:space="preserve"> (0.000264233,0)</t>
  </si>
  <si>
    <t xml:space="preserve"> (-0.00223146,0)</t>
  </si>
  <si>
    <t>(-1.62088e-05,0)</t>
  </si>
  <si>
    <t xml:space="preserve">  (-0.0065905,0)</t>
  </si>
  <si>
    <t xml:space="preserve">   (-0.232222,0)</t>
  </si>
  <si>
    <t xml:space="preserve">   (-0.143695,0)</t>
  </si>
  <si>
    <t>(-0.000106817,0)</t>
  </si>
  <si>
    <t xml:space="preserve"> (0.000894453,0)</t>
  </si>
  <si>
    <t xml:space="preserve">  (0.00033323,0)</t>
  </si>
  <si>
    <t>Damping rate, sigma [1/s] =                    2.33593</t>
  </si>
  <si>
    <t>99% Damping Time [s] =                         1.97145</t>
  </si>
  <si>
    <t>Eigenvalue [1/s] = (0.648881,0)</t>
  </si>
  <si>
    <t>Eigenvector =  (-0.0419687,0)</t>
  </si>
  <si>
    <t xml:space="preserve"> (-0.0251999,0)</t>
  </si>
  <si>
    <t xml:space="preserve">   (0.305577,0)</t>
  </si>
  <si>
    <t>(0.000117943,0)</t>
  </si>
  <si>
    <t>(0.000798635,0)</t>
  </si>
  <si>
    <t>(4.13595e-05,0)</t>
  </si>
  <si>
    <t xml:space="preserve"> (-0.0916032,0)</t>
  </si>
  <si>
    <t xml:space="preserve">    (0.66864,0)</t>
  </si>
  <si>
    <t xml:space="preserve">  (-0.669891,0)</t>
  </si>
  <si>
    <t>(0.000233145,0)</t>
  </si>
  <si>
    <t xml:space="preserve"> (0.00112814,0)</t>
  </si>
  <si>
    <t>(0.000482523,0)</t>
  </si>
  <si>
    <t>Damping rate, sigma [1/s] =                    -0.648881</t>
  </si>
  <si>
    <t>Doubling time [s] =                            1.06822</t>
  </si>
  <si>
    <t>Eigenvalue [1/s] = (0.0472713,0.292987)</t>
  </si>
  <si>
    <t>Eigenvector =       (-0.015147,0.0165687)</t>
  </si>
  <si>
    <t xml:space="preserve">      (-0.289997,0.0878053)</t>
  </si>
  <si>
    <t xml:space="preserve">     (-0.0198371,-0.026632)</t>
  </si>
  <si>
    <t xml:space="preserve">  (0.00143397,-0.000611568)</t>
  </si>
  <si>
    <t xml:space="preserve"> (-4.60085e-05,-0.00014186)</t>
  </si>
  <si>
    <t xml:space="preserve"> (5.57304e-05,-0.000132477)</t>
  </si>
  <si>
    <t xml:space="preserve">       (0.033922,0.0732064)</t>
  </si>
  <si>
    <t xml:space="preserve">       (-0.803917,0.165461)</t>
  </si>
  <si>
    <t xml:space="preserve">       (-0.326622,0.345983)</t>
  </si>
  <si>
    <t xml:space="preserve">  (-0.00127896,-0.00510563)</t>
  </si>
  <si>
    <t xml:space="preserve"> (-4.97989e-07,0.000132091)</t>
  </si>
  <si>
    <t>(-0.000555972,-0.000214836)</t>
  </si>
  <si>
    <t>Damping rate, sigma [1/s] =                    -0.0472713</t>
  </si>
  <si>
    <t>Damped natural frequency, omega_d [rad/s] =    0.292987</t>
  </si>
  <si>
    <t>Damped period [s] =                            21.4453</t>
  </si>
  <si>
    <t>Undamped natural frequency, omega_n [rad/s] =  0.240599</t>
  </si>
  <si>
    <t>Doubling time [s] =                            14.6632</t>
  </si>
  <si>
    <t>Eigenvalue [1/s] = (0.0472713,-0.292987)</t>
  </si>
  <si>
    <t>Eigenvector =      (-0.015147,-0.0165687)</t>
  </si>
  <si>
    <t xml:space="preserve">     (-0.289997,-0.0878053)</t>
  </si>
  <si>
    <t xml:space="preserve">      (-0.0198371,0.026632)</t>
  </si>
  <si>
    <t xml:space="preserve">   (0.00143397,0.000611568)</t>
  </si>
  <si>
    <t xml:space="preserve">  (-4.60085e-05,0.00014186)</t>
  </si>
  <si>
    <t xml:space="preserve">  (5.57304e-05,0.000132477)</t>
  </si>
  <si>
    <t xml:space="preserve">      (0.033922,-0.0732064)</t>
  </si>
  <si>
    <t xml:space="preserve">      (-0.803917,-0.165461)</t>
  </si>
  <si>
    <t xml:space="preserve">      (-0.326622,-0.345983)</t>
  </si>
  <si>
    <t xml:space="preserve">   (-0.00127896,0.00510563)</t>
  </si>
  <si>
    <t>(-4.97989e-07,-0.000132091)</t>
  </si>
  <si>
    <t xml:space="preserve"> (-0.000555972,0.000214836)</t>
  </si>
  <si>
    <t>Undamped natural frequency, omega_n [rad/s] =  0.173747</t>
  </si>
  <si>
    <t>Eigenvalue [1/s] = (-0.171959,0)</t>
  </si>
  <si>
    <t>Eigenvector =  (-0.00405579,0)</t>
  </si>
  <si>
    <t xml:space="preserve">  (-0.0237981,0)</t>
  </si>
  <si>
    <t xml:space="preserve"> (-0.00485251,0)</t>
  </si>
  <si>
    <t xml:space="preserve"> (0.000126051,0)</t>
  </si>
  <si>
    <t>(-2.01276e-05,0)</t>
  </si>
  <si>
    <t>(-3.61509e-05,0)</t>
  </si>
  <si>
    <t xml:space="preserve">    (0.020763,0)</t>
  </si>
  <si>
    <t xml:space="preserve">   (-0.996967,0)</t>
  </si>
  <si>
    <t xml:space="preserve">  (-0.0708411,0)</t>
  </si>
  <si>
    <t>(-0.000719312,0)</t>
  </si>
  <si>
    <t>(-3.90034e-05,0)</t>
  </si>
  <si>
    <t xml:space="preserve"> (0.000237943,0)</t>
  </si>
  <si>
    <t>Damping rate, sigma [1/s] =                    0.171959</t>
  </si>
  <si>
    <t>99% Damping Time [s] =                         26.7806</t>
  </si>
  <si>
    <t>Eigenvalue [1/s] = (-0.00297006,0.0908292)</t>
  </si>
  <si>
    <t>Eigenvector =      (-0.0352162,0.0111721)</t>
  </si>
  <si>
    <t xml:space="preserve">    (0.000415138,0.0019463)</t>
  </si>
  <si>
    <t xml:space="preserve">  (-0.00249811,0.000479142)</t>
  </si>
  <si>
    <t>(-2.81181e-06,-1.00056e-05)</t>
  </si>
  <si>
    <t xml:space="preserve"> (-1.26854e-05,3.42246e-06)</t>
  </si>
  <si>
    <t xml:space="preserve"> (-3.03083e-06,6.83914e-07)</t>
  </si>
  <si>
    <t xml:space="preserve">        (0.107986,0.393204)</t>
  </si>
  <si>
    <t xml:space="preserve">       (0.521499,-0.166265)</t>
  </si>
  <si>
    <t xml:space="preserve">       (-0.689476,0.239523)</t>
  </si>
  <si>
    <t xml:space="preserve"> (-8.78139e-05,3.09343e-05)</t>
  </si>
  <si>
    <t xml:space="preserve">  (2.98596e-05,0.000101033)</t>
  </si>
  <si>
    <t xml:space="preserve">  (2.33585e-05,7.81799e-05)</t>
  </si>
  <si>
    <t>Damping rate, sigma [1/s] =                    0.00297006</t>
  </si>
  <si>
    <t>Damped natural frequency, omega_d [rad/s] =    0.0908292</t>
  </si>
  <si>
    <t>Damped period [s] =                            69.1758</t>
  </si>
  <si>
    <t>Undamped natural frequency, omega_n [rad/s] =  0.0621258</t>
  </si>
  <si>
    <t>99% Damping Time [s] =                         1550.53</t>
  </si>
  <si>
    <t>Eigenvalue [1/s] = (-0.00297006,-0.0908292)</t>
  </si>
  <si>
    <t>Eigenvector =     (-0.0352162,-0.0111721)</t>
  </si>
  <si>
    <t xml:space="preserve">   (0.000415138,-0.0019463)</t>
  </si>
  <si>
    <t xml:space="preserve"> (-0.00249811,-0.000479142)</t>
  </si>
  <si>
    <t xml:space="preserve"> (-2.81181e-06,1.00056e-05)</t>
  </si>
  <si>
    <t>(-1.26854e-05,-3.42246e-06)</t>
  </si>
  <si>
    <t>(-3.03083e-06,-6.83914e-07)</t>
  </si>
  <si>
    <t xml:space="preserve">       (0.107986,-0.393204)</t>
  </si>
  <si>
    <t xml:space="preserve">        (0.521499,0.166265)</t>
  </si>
  <si>
    <t xml:space="preserve">      (-0.689476,-0.239523)</t>
  </si>
  <si>
    <t>(-8.78139e-05,-3.09343e-05)</t>
  </si>
  <si>
    <t xml:space="preserve"> (2.98596e-05,-0.000101033)</t>
  </si>
  <si>
    <t xml:space="preserve"> (2.33585e-05,-7.81799e-05)</t>
  </si>
  <si>
    <t>Undamped natural frequency, omega_n [rad/s] =  0.0663261</t>
  </si>
  <si>
    <t>Eigenvalue [1/s] = (1.44174e-12,8.40024e-07)</t>
  </si>
  <si>
    <t>Eigenvector =  (7.21265e-17,7.03664e-13)</t>
  </si>
  <si>
    <t xml:space="preserve"> (5.71291e-18,2.30144e-14)</t>
  </si>
  <si>
    <t xml:space="preserve"> (1.88488e-17,1.82223e-13)</t>
  </si>
  <si>
    <t>(-3.66179e-20,-2.2103e-16)</t>
  </si>
  <si>
    <t xml:space="preserve"> (7.77837e-20,7.52772e-16)</t>
  </si>
  <si>
    <t xml:space="preserve"> (9.50278e-20,9.18969e-16)</t>
  </si>
  <si>
    <t>(8.38768e-07,-8.39889e-11)</t>
  </si>
  <si>
    <t xml:space="preserve">          (-9.9911e-05,-1)</t>
  </si>
  <si>
    <t xml:space="preserve"> (2.45249e-08,1.11884e-11)</t>
  </si>
  <si>
    <t xml:space="preserve"> (2.05728e-18,1.97966e-14)</t>
  </si>
  <si>
    <t xml:space="preserve">  (3.34858e-20,1.2778e-16)</t>
  </si>
  <si>
    <t>(1.32602e-09,-1.34817e-13)</t>
  </si>
  <si>
    <t>Damping rate, sigma [1/s] =                    -1.44174e-12</t>
  </si>
  <si>
    <t>Damped natural frequency, omega_d [rad/s] =    8.40024e-07</t>
  </si>
  <si>
    <t>Damped period [s] =                            7.47977e+06</t>
  </si>
  <si>
    <t>Undamped natural frequency, omega_n [rad/s] =  5.93987e-07</t>
  </si>
  <si>
    <t>Doubling time [s] =                            4.80772e+11</t>
  </si>
  <si>
    <t>Eigenvalue [1/s] = (1.44174e-12,-8.40024e-07)</t>
  </si>
  <si>
    <t>Eigenvector = (7.21265e-17,-7.03664e-13)</t>
  </si>
  <si>
    <t>(5.71291e-18,-2.30144e-14)</t>
  </si>
  <si>
    <t>(1.88488e-17,-1.82223e-13)</t>
  </si>
  <si>
    <t xml:space="preserve"> (-3.66179e-20,2.2103e-16)</t>
  </si>
  <si>
    <t>(7.77837e-20,-7.52772e-16)</t>
  </si>
  <si>
    <t>(9.50278e-20,-9.18969e-16)</t>
  </si>
  <si>
    <t xml:space="preserve"> (8.38768e-07,8.39889e-11)</t>
  </si>
  <si>
    <t xml:space="preserve">           (-9.9911e-05,1)</t>
  </si>
  <si>
    <t>(2.45249e-08,-1.11884e-11)</t>
  </si>
  <si>
    <t>(2.05728e-18,-1.97966e-14)</t>
  </si>
  <si>
    <t xml:space="preserve"> (3.34858e-20,-1.2778e-16)</t>
  </si>
  <si>
    <t xml:space="preserve"> (1.32602e-09,1.34817e-13)</t>
  </si>
  <si>
    <t>Undamped natural frequency, omega_n [rad/s] =  5.93985e-07</t>
  </si>
  <si>
    <t>Eigenvalue [1/s] = (6.71035e-15,2.31564e-14)</t>
  </si>
  <si>
    <t>Eigenvector =  (2.14024e-14,-6.42881e-15)</t>
  </si>
  <si>
    <t>(-8.06442e-15,-1.01843e-14)</t>
  </si>
  <si>
    <t>(-2.75353e-15,-9.78699e-15)</t>
  </si>
  <si>
    <t xml:space="preserve"> (3.55872e-17,-4.06616e-17)</t>
  </si>
  <si>
    <t xml:space="preserve"> (3.35546e-19,-6.73673e-18)</t>
  </si>
  <si>
    <t xml:space="preserve">  (-4.1298e-19,9.51789e-19)</t>
  </si>
  <si>
    <t xml:space="preserve">      (0.0181134,-0.927306)</t>
  </si>
  <si>
    <t xml:space="preserve">       (0.0190999,0.180826)</t>
  </si>
  <si>
    <t xml:space="preserve">        (0.299125,0.131288)</t>
  </si>
  <si>
    <t xml:space="preserve">  (2.06974e-18,1.00201e-16)</t>
  </si>
  <si>
    <t>(-7.17552e-18,-2.03392e-17)</t>
  </si>
  <si>
    <t>(-1.57223e-17,-2.80697e-18)</t>
  </si>
  <si>
    <t>Damping rate, sigma [1/s] =                    -6.71035e-15</t>
  </si>
  <si>
    <t>Damped natural frequency, omega_d [rad/s] =    2.31564e-14</t>
  </si>
  <si>
    <t>Damped period [s] =                            2.71337e+14</t>
  </si>
  <si>
    <t>Undamped natural frequency, omega_n [rad/s] =  2.1119e-14</t>
  </si>
  <si>
    <t>Doubling time [s] =                            1.03295e+14</t>
  </si>
  <si>
    <t>Eigenvalue [1/s] = (6.71035e-15,-2.31564e-14)</t>
  </si>
  <si>
    <t>Eigenvector =  (2.14024e-14,6.42881e-15)</t>
  </si>
  <si>
    <t>(-8.06442e-15,1.01843e-14)</t>
  </si>
  <si>
    <t>(-2.75353e-15,9.78699e-15)</t>
  </si>
  <si>
    <t xml:space="preserve"> (3.55872e-17,4.06616e-17)</t>
  </si>
  <si>
    <t xml:space="preserve"> (3.35546e-19,6.73673e-18)</t>
  </si>
  <si>
    <t>(-4.1298e-19,-9.51789e-19)</t>
  </si>
  <si>
    <t xml:space="preserve">      (0.0181134,0.927306)</t>
  </si>
  <si>
    <t xml:space="preserve">     (0.0190999,-0.180826)</t>
  </si>
  <si>
    <t xml:space="preserve">      (0.299125,-0.131288)</t>
  </si>
  <si>
    <t>(2.06974e-18,-1.00201e-16)</t>
  </si>
  <si>
    <t>(-7.17552e-18,2.03392e-17)</t>
  </si>
  <si>
    <t>(-1.57223e-17,2.80697e-18)</t>
  </si>
  <si>
    <t>Undamped natural frequency, omega_n [rad/s] =  1.16291e-14</t>
  </si>
  <si>
    <t>Eigenvalue [1/s] = (-3.05691,0)</t>
  </si>
  <si>
    <t>Eigenvector =  (-0.00546046,0)</t>
  </si>
  <si>
    <t xml:space="preserve">      (0.9649,0)</t>
  </si>
  <si>
    <t xml:space="preserve">   (0.0628652,0)</t>
  </si>
  <si>
    <t xml:space="preserve">   (0.0658548,0)</t>
  </si>
  <si>
    <t xml:space="preserve"> (-0.00121951,0)</t>
  </si>
  <si>
    <t xml:space="preserve">  (0.00397234,0)</t>
  </si>
  <si>
    <t xml:space="preserve"> (-0.00438075,0)</t>
  </si>
  <si>
    <t xml:space="preserve">    (0.203301,0)</t>
  </si>
  <si>
    <t xml:space="preserve">   (-0.137171,0)</t>
  </si>
  <si>
    <t xml:space="preserve">  (-0.0215769,0)</t>
  </si>
  <si>
    <t xml:space="preserve"> (0.000705935,0)</t>
  </si>
  <si>
    <t>(-0.000305461,0)</t>
  </si>
  <si>
    <t>Damping rate, sigma [1/s] =                    3.05691</t>
  </si>
  <si>
    <t>99% Damping Time [s] =                         1.50648</t>
  </si>
  <si>
    <t>Eigenvalue [1/s] = (-2.31866,0)</t>
  </si>
  <si>
    <t>Eigenvector =    (0.0180316,0)</t>
  </si>
  <si>
    <t xml:space="preserve">   (0.0054709,0)</t>
  </si>
  <si>
    <t xml:space="preserve">    (0.850947,0)</t>
  </si>
  <si>
    <t xml:space="preserve"> (0.000356641,0)</t>
  </si>
  <si>
    <t xml:space="preserve"> (-0.00200159,0)</t>
  </si>
  <si>
    <t xml:space="preserve"> (7.81243e-06,0)</t>
  </si>
  <si>
    <t xml:space="preserve">    (-0.01083,0)</t>
  </si>
  <si>
    <t xml:space="preserve">    (-0.52041,0)</t>
  </si>
  <si>
    <t xml:space="preserve">  (-0.0677175,0)</t>
  </si>
  <si>
    <t>(-0.000136539,0)</t>
  </si>
  <si>
    <t xml:space="preserve"> (0.000429382,0)</t>
  </si>
  <si>
    <t xml:space="preserve"> (0.000745938,0)</t>
  </si>
  <si>
    <t>Damping rate, sigma [1/s] =                    2.31866</t>
  </si>
  <si>
    <t>99% Damping Time [s] =                         1.98614</t>
  </si>
  <si>
    <t>Eigenvalue [1/s] = (0.663009,0)</t>
  </si>
  <si>
    <t>Eigenvector =  (-0.0269776,0)</t>
  </si>
  <si>
    <t xml:space="preserve"> (-0.0116044,0)</t>
  </si>
  <si>
    <t xml:space="preserve">   (0.206057,0)</t>
  </si>
  <si>
    <t>(6.31009e-05,0)</t>
  </si>
  <si>
    <t>(0.000531388,0)</t>
  </si>
  <si>
    <t>(1.85444e-05,0)</t>
  </si>
  <si>
    <t xml:space="preserve"> (-0.0495358,0)</t>
  </si>
  <si>
    <t xml:space="preserve">   (0.957021,0)</t>
  </si>
  <si>
    <t xml:space="preserve">   (-0.19579,0)</t>
  </si>
  <si>
    <t>(0.000173865,0)</t>
  </si>
  <si>
    <t>(0.000353523,0)</t>
  </si>
  <si>
    <t>(0.000710907,0)</t>
  </si>
  <si>
    <t>Damping rate, sigma [1/s] =                    -0.663009</t>
  </si>
  <si>
    <t>Doubling time [s] =                            1.04546</t>
  </si>
  <si>
    <t>Eigenvalue [1/s] = (-0.00306063,0.532607)</t>
  </si>
  <si>
    <t>Eigenvector =     (-0.0104005,0.0401419)</t>
  </si>
  <si>
    <t xml:space="preserve">     (-0.451163,-0.163992)</t>
  </si>
  <si>
    <t xml:space="preserve">    (0.0101901,-0.0528655)</t>
  </si>
  <si>
    <t xml:space="preserve">  (0.00246491,0.000476371)</t>
  </si>
  <si>
    <t>(0.000100208,-0.000270512)</t>
  </si>
  <si>
    <t>(-2.94851e-05,0.000290297)</t>
  </si>
  <si>
    <t xml:space="preserve">     (0.0614266,0.0537576)</t>
  </si>
  <si>
    <t xml:space="preserve">     (-0.093584,-0.239461)</t>
  </si>
  <si>
    <t xml:space="preserve">       (-0.314157,0.77036)</t>
  </si>
  <si>
    <t xml:space="preserve"> (0.000860087,-0.00464544)</t>
  </si>
  <si>
    <t>(3.87932e-05,-6.43495e-07)</t>
  </si>
  <si>
    <t>(-0.00016828,-0.000134716)</t>
  </si>
  <si>
    <t>Damping rate, sigma [1/s] =                    0.00306063</t>
  </si>
  <si>
    <t>Damped natural frequency, omega_d [rad/s] =    0.532607</t>
  </si>
  <si>
    <t>Damped period [s] =                            11.797</t>
  </si>
  <si>
    <t>Undamped natural frequency, omega_n [rad/s] =  0.374446</t>
  </si>
  <si>
    <t>99% Damping Time [s] =                         1504.65</t>
  </si>
  <si>
    <t>Eigenvalue [1/s] = (-0.00306063,-0.532607)</t>
  </si>
  <si>
    <t>Eigenvector =     (-0.0104005,-0.0401419)</t>
  </si>
  <si>
    <t xml:space="preserve">       (-0.451163,0.163992)</t>
  </si>
  <si>
    <t xml:space="preserve">      (0.0101901,0.0528655)</t>
  </si>
  <si>
    <t xml:space="preserve">  (0.00246491,-0.000476371)</t>
  </si>
  <si>
    <t xml:space="preserve">  (0.000100208,0.000270512)</t>
  </si>
  <si>
    <t>(-2.94851e-05,-0.000290297)</t>
  </si>
  <si>
    <t xml:space="preserve">     (0.0614266,-0.0537576)</t>
  </si>
  <si>
    <t xml:space="preserve">       (-0.093584,0.239461)</t>
  </si>
  <si>
    <t xml:space="preserve">       (-0.314157,-0.77036)</t>
  </si>
  <si>
    <t xml:space="preserve">   (0.000860087,0.00464544)</t>
  </si>
  <si>
    <t xml:space="preserve">  (3.87932e-05,6.43495e-07)</t>
  </si>
  <si>
    <t xml:space="preserve">  (-0.00016828,0.000134716)</t>
  </si>
  <si>
    <t>Undamped natural frequency, omega_n [rad/s] =  0.378774</t>
  </si>
  <si>
    <t>Eigenvalue [1/s] = (-0.0256658,0.106841)</t>
  </si>
  <si>
    <t>Eigenvector =       (0.038132,-0.0142609)</t>
  </si>
  <si>
    <t xml:space="preserve"> (-0.00241504,-0.000983094)</t>
  </si>
  <si>
    <t xml:space="preserve">  (0.000471546,-0.00130372)</t>
  </si>
  <si>
    <t xml:space="preserve">     (1.13386e-05,5.01e-06)</t>
  </si>
  <si>
    <t xml:space="preserve"> (7.10522e-06,-9.12738e-06)</t>
  </si>
  <si>
    <t>(-4.66184e-06,-3.55751e-09)</t>
  </si>
  <si>
    <t xml:space="preserve">      (-0.173181,-0.318648)</t>
  </si>
  <si>
    <t xml:space="preserve">       (0.0169718,0.472347)</t>
  </si>
  <si>
    <t xml:space="preserve">       (0.762333,-0.249508)</t>
  </si>
  <si>
    <t>(-8.90374e-05,-7.25064e-05)</t>
  </si>
  <si>
    <t>(-1.68288e-05,-0.000140068)</t>
  </si>
  <si>
    <t xml:space="preserve"> (-8.2919e-05,-1.52716e-05)</t>
  </si>
  <si>
    <t>Damping rate, sigma [1/s] =                    0.0256658</t>
  </si>
  <si>
    <t>Damped natural frequency, omega_d [rad/s] =    0.106841</t>
  </si>
  <si>
    <t>Damped period [s] =                            58.8087</t>
  </si>
  <si>
    <t>Undamped natural frequency, omega_n [rad/s] =  0.0573995</t>
  </si>
  <si>
    <t>99% Damping Time [s] =                         179.428</t>
  </si>
  <si>
    <t>Eigenvalue [1/s] = (-0.0256658,-0.106841)</t>
  </si>
  <si>
    <t>Eigenvector =       (0.038132,0.0142609)</t>
  </si>
  <si>
    <t xml:space="preserve"> (-0.00241504,0.000983094)</t>
  </si>
  <si>
    <t xml:space="preserve">  (0.000471546,0.00130372)</t>
  </si>
  <si>
    <t xml:space="preserve">   (1.13386e-05,-5.01e-06)</t>
  </si>
  <si>
    <t xml:space="preserve"> (7.10522e-06,9.12738e-06)</t>
  </si>
  <si>
    <t>(-4.66184e-06,3.55751e-09)</t>
  </si>
  <si>
    <t xml:space="preserve">      (-0.173181,0.318648)</t>
  </si>
  <si>
    <t xml:space="preserve">     (0.0169718,-0.472347)</t>
  </si>
  <si>
    <t xml:space="preserve">       (0.762333,0.249508)</t>
  </si>
  <si>
    <t>(-8.90374e-05,7.25064e-05)</t>
  </si>
  <si>
    <t>(-1.68288e-05,0.000140068)</t>
  </si>
  <si>
    <t xml:space="preserve"> (-8.2919e-05,1.52716e-05)</t>
  </si>
  <si>
    <t>Undamped natural frequency, omega_n [rad/s] =  0.0936965</t>
  </si>
  <si>
    <t>Eigenvalue [1/s] = (0.0355378,0)</t>
  </si>
  <si>
    <t>Eigenvector =   (0.00393919,0)</t>
  </si>
  <si>
    <t>(-0.000154112,0)</t>
  </si>
  <si>
    <t xml:space="preserve"> (0.000351549,0)</t>
  </si>
  <si>
    <t xml:space="preserve"> (7.77783e-07,0)</t>
  </si>
  <si>
    <t xml:space="preserve"> (2.21061e-06,0)</t>
  </si>
  <si>
    <t xml:space="preserve"> (1.09879e-07,0)</t>
  </si>
  <si>
    <t xml:space="preserve">    (0.114368,0)</t>
  </si>
  <si>
    <t xml:space="preserve">    (0.990531,0)</t>
  </si>
  <si>
    <t xml:space="preserve">   (0.0758428,0)</t>
  </si>
  <si>
    <t xml:space="preserve"> (1.33315e-05,0)</t>
  </si>
  <si>
    <t>(-4.46822e-06,0)</t>
  </si>
  <si>
    <t xml:space="preserve"> (5.49764e-05,0)</t>
  </si>
  <si>
    <t>Damping rate, sigma [1/s] =                    -0.0355378</t>
  </si>
  <si>
    <t>Doubling time [s] =                            19.5045</t>
  </si>
  <si>
    <t>Eigenvalue [1/s] = (-3.02676e-12,5.62004e-07)</t>
  </si>
  <si>
    <t>Eigenvector =  (-4.30723e-17,8.9023e-13)</t>
  </si>
  <si>
    <t>(8.30235e-19,-6.47496e-15)</t>
  </si>
  <si>
    <t>(-5.59963e-18,1.28694e-13)</t>
  </si>
  <si>
    <t>(-5.14137e-21,8.94056e-17)</t>
  </si>
  <si>
    <t xml:space="preserve"> (-2.7486e-20,5.96681e-16)</t>
  </si>
  <si>
    <t>(-8.69176e-22,1.95953e-17)</t>
  </si>
  <si>
    <t xml:space="preserve"> (1.56475e-06,6.83112e-11)</t>
  </si>
  <si>
    <t xml:space="preserve">          (3.59394e-05,-1)</t>
  </si>
  <si>
    <t xml:space="preserve">  (6.6003e-08,1.92343e-11)</t>
  </si>
  <si>
    <t xml:space="preserve"> (-1.4288e-19,3.06715e-15)</t>
  </si>
  <si>
    <t>(1.72852e-20,-3.29434e-17)</t>
  </si>
  <si>
    <t xml:space="preserve"> (8.87338e-10,3.64884e-14)</t>
  </si>
  <si>
    <t>Damping rate, sigma [1/s] =                    3.02676e-12</t>
  </si>
  <si>
    <t>Damped natural frequency, omega_d [rad/s] =    5.62004e-07</t>
  </si>
  <si>
    <t>Damped period [s] =                            1.118e+07</t>
  </si>
  <si>
    <t>Undamped natural frequency, omega_n [rad/s] =  3.97395e-07</t>
  </si>
  <si>
    <t>99% Damping Time [s] =                         1.52149e+12</t>
  </si>
  <si>
    <t>Eigenvalue [1/s] = (-3.02676e-12,-5.62004e-07)</t>
  </si>
  <si>
    <t>Eigenvector =  (-4.30723e-17,-8.9023e-13)</t>
  </si>
  <si>
    <t xml:space="preserve">  (8.30235e-19,6.47496e-15)</t>
  </si>
  <si>
    <t>(-5.59963e-18,-1.28694e-13)</t>
  </si>
  <si>
    <t>(-5.14137e-21,-8.94056e-17)</t>
  </si>
  <si>
    <t xml:space="preserve"> (-2.7486e-20,-5.96681e-16)</t>
  </si>
  <si>
    <t>(-8.69176e-22,-1.95953e-17)</t>
  </si>
  <si>
    <t xml:space="preserve"> (1.56475e-06,-6.83112e-11)</t>
  </si>
  <si>
    <t xml:space="preserve">            (3.59394e-05,1)</t>
  </si>
  <si>
    <t xml:space="preserve">  (6.6003e-08,-1.92343e-11)</t>
  </si>
  <si>
    <t xml:space="preserve"> (-1.4288e-19,-3.06715e-15)</t>
  </si>
  <si>
    <t xml:space="preserve">  (1.72852e-20,3.29434e-17)</t>
  </si>
  <si>
    <t xml:space="preserve"> (8.87338e-10,-3.64884e-14)</t>
  </si>
  <si>
    <t>Undamped natural frequency, omega_n [rad/s] =  3.97399e-07</t>
  </si>
  <si>
    <t>Eigenvalue [1/s] = (-4.65148e-15,0)</t>
  </si>
  <si>
    <t>Eigenvector =  (1.00268e-14,0)</t>
  </si>
  <si>
    <t>(-1.40875e-14,0)</t>
  </si>
  <si>
    <t xml:space="preserve"> (8.02348e-16,0)</t>
  </si>
  <si>
    <t>(-2.09203e-16,0)</t>
  </si>
  <si>
    <t xml:space="preserve"> (1.19615e-17,0)</t>
  </si>
  <si>
    <t>(-1.02904e-17,0)</t>
  </si>
  <si>
    <t xml:space="preserve">   (-0.829807,0)</t>
  </si>
  <si>
    <t xml:space="preserve">   (-0.160289,0)</t>
  </si>
  <si>
    <t xml:space="preserve">    (0.534535,0)</t>
  </si>
  <si>
    <t>(-3.11114e-17,0)</t>
  </si>
  <si>
    <t>(-1.26945e-17,0)</t>
  </si>
  <si>
    <t>(-2.15694e-18,0)</t>
  </si>
  <si>
    <t>Damping rate, sigma [1/s] =                    4.65148e-15</t>
  </si>
  <si>
    <t>99% Damping Time [s] =                         9.90044e+14</t>
  </si>
  <si>
    <t>Eigenvalue [1/s] = (9.35411e-14,0)</t>
  </si>
  <si>
    <t>Eigenvector =   (-8.083e-14,0)</t>
  </si>
  <si>
    <t>(-1.65996e-14,0)</t>
  </si>
  <si>
    <t xml:space="preserve"> (1.74876e-14,0)</t>
  </si>
  <si>
    <t>(-2.69315e-16,0)</t>
  </si>
  <si>
    <t xml:space="preserve"> (8.30419e-18,0)</t>
  </si>
  <si>
    <t>(-6.99879e-18,0)</t>
  </si>
  <si>
    <t xml:space="preserve">   (-0.919447,0)</t>
  </si>
  <si>
    <t xml:space="preserve">   (-0.271556,0)</t>
  </si>
  <si>
    <t xml:space="preserve">    (0.284385,0)</t>
  </si>
  <si>
    <t>(-1.06809e-16,0)</t>
  </si>
  <si>
    <t>(-4.01841e-17,0)</t>
  </si>
  <si>
    <t>(-6.77114e-17,0)</t>
  </si>
  <si>
    <t>Damping rate, sigma [1/s] =                    -9.35411e-14</t>
  </si>
  <si>
    <t>Doubling time [s] =                            7.41008e+12</t>
  </si>
  <si>
    <t>Eigenvalue [1/s] = (-2.83698,0)</t>
  </si>
  <si>
    <t>Eigenvector =  (-0.00875058,0)</t>
  </si>
  <si>
    <t xml:space="preserve">    (0.975221,0)</t>
  </si>
  <si>
    <t xml:space="preserve">   (0.0269611,0)</t>
  </si>
  <si>
    <t xml:space="preserve">   (0.0238379,0)</t>
  </si>
  <si>
    <t>(-0.000557033,0)</t>
  </si>
  <si>
    <t xml:space="preserve">   (0.0040671,0)</t>
  </si>
  <si>
    <t xml:space="preserve"> (-0.00726144,0)</t>
  </si>
  <si>
    <t xml:space="preserve">   (0.0634155,0)</t>
  </si>
  <si>
    <t xml:space="preserve">    (-0.20835,0)</t>
  </si>
  <si>
    <t xml:space="preserve"> (-0.00846511,0)</t>
  </si>
  <si>
    <t xml:space="preserve"> (0.000589444,0)</t>
  </si>
  <si>
    <t xml:space="preserve"> (-5.8613e-05,0)</t>
  </si>
  <si>
    <t>Damping rate, sigma [1/s] =                    2.83698</t>
  </si>
  <si>
    <t>99% Damping Time [s] =                         1.62326</t>
  </si>
  <si>
    <t>Eigenvalue [1/s] = (-2.20437,0)</t>
  </si>
  <si>
    <t>Eigenvector =    (0.0873658,0)</t>
  </si>
  <si>
    <t xml:space="preserve">   (0.0200488,0)</t>
  </si>
  <si>
    <t xml:space="preserve">    (0.802477,0)</t>
  </si>
  <si>
    <t xml:space="preserve"> (0.000134176,0)</t>
  </si>
  <si>
    <t xml:space="preserve"> (-0.00180672,0)</t>
  </si>
  <si>
    <t xml:space="preserve"> (3.85173e-05,0)</t>
  </si>
  <si>
    <t xml:space="preserve">  (-0.0409648,0)</t>
  </si>
  <si>
    <t xml:space="preserve">   (-0.587917,0)</t>
  </si>
  <si>
    <t xml:space="preserve">  (-0.0258255,0)</t>
  </si>
  <si>
    <t>(-4.10503e-05,0)</t>
  </si>
  <si>
    <t xml:space="preserve"> (0.000154186,0)</t>
  </si>
  <si>
    <t xml:space="preserve"> (0.000804116,0)</t>
  </si>
  <si>
    <t>Damping rate, sigma [1/s] =                    2.20437</t>
  </si>
  <si>
    <t>99% Damping Time [s] =                         2.08911</t>
  </si>
  <si>
    <t>Eigenvalue [1/s] = (0.0635652,1.13967)</t>
  </si>
  <si>
    <t>Eigenvector =       (0.0215194,0.0216667)</t>
  </si>
  <si>
    <t xml:space="preserve">       (-0.605774,0.543054)</t>
  </si>
  <si>
    <t xml:space="preserve">   (-0.00307512,-0.0191917)</t>
  </si>
  <si>
    <t xml:space="preserve">    (0.0026669,-0.00382472)</t>
  </si>
  <si>
    <t>(-0.000106093,-0.000162399)</t>
  </si>
  <si>
    <t xml:space="preserve">   (0.00118479,0.000850381)</t>
  </si>
  <si>
    <t xml:space="preserve">     (0.0353219,0.00504033)</t>
  </si>
  <si>
    <t xml:space="preserve">     (-0.142466,-0.0959509)</t>
  </si>
  <si>
    <t xml:space="preserve">        (0.307902,0.459564)</t>
  </si>
  <si>
    <t xml:space="preserve">  (-0.00315834,-0.00248344)</t>
  </si>
  <si>
    <t xml:space="preserve"> (-0.000147271,0.000236287)</t>
  </si>
  <si>
    <t>(-2.94724e-06,-8.72746e-05)</t>
  </si>
  <si>
    <t>Damping rate, sigma [1/s] =                    -0.0635652</t>
  </si>
  <si>
    <t>Damped natural frequency, omega_d [rad/s] =    1.13967</t>
  </si>
  <si>
    <t>Damped period [s] =                            5.51314</t>
  </si>
  <si>
    <t>Undamped natural frequency, omega_n [rad/s] =  0.850819</t>
  </si>
  <si>
    <t>Doubling time [s] =                            10.9045</t>
  </si>
  <si>
    <t>Eigenvalue [1/s] = (0.0635652,-1.13967)</t>
  </si>
  <si>
    <t>Eigenvector =      (0.0215194,-0.0216667)</t>
  </si>
  <si>
    <t xml:space="preserve">      (-0.605774,-0.543054)</t>
  </si>
  <si>
    <t xml:space="preserve">    (-0.00307512,0.0191917)</t>
  </si>
  <si>
    <t xml:space="preserve">     (0.0026669,0.00382472)</t>
  </si>
  <si>
    <t xml:space="preserve"> (-0.000106093,0.000162399)</t>
  </si>
  <si>
    <t xml:space="preserve">  (0.00118479,-0.000850381)</t>
  </si>
  <si>
    <t xml:space="preserve">    (0.0353219,-0.00504033)</t>
  </si>
  <si>
    <t xml:space="preserve">      (-0.142466,0.0959509)</t>
  </si>
  <si>
    <t xml:space="preserve">       (0.307902,-0.459564)</t>
  </si>
  <si>
    <t xml:space="preserve">   (-0.00315834,0.00248344)</t>
  </si>
  <si>
    <t>(-0.000147271,-0.000236287)</t>
  </si>
  <si>
    <t xml:space="preserve"> (-2.94724e-06,8.72746e-05)</t>
  </si>
  <si>
    <t>Undamped natural frequency, omega_n [rad/s] =  0.760924</t>
  </si>
  <si>
    <t>Eigenvalue [1/s] = (0.658064,0)</t>
  </si>
  <si>
    <t>Eigenvector =   (-0.091303,0)</t>
  </si>
  <si>
    <t>(0.000406446,0)</t>
  </si>
  <si>
    <t xml:space="preserve">   (0.207866,0)</t>
  </si>
  <si>
    <t>(1.52951e-05,0)</t>
  </si>
  <si>
    <t>(0.000451231,0)</t>
  </si>
  <si>
    <t>(2.55439e-06,0)</t>
  </si>
  <si>
    <t xml:space="preserve">  (-0.139454,0)</t>
  </si>
  <si>
    <t xml:space="preserve">   (0.963789,0)</t>
  </si>
  <si>
    <t xml:space="preserve"> (-0.0108299,0)</t>
  </si>
  <si>
    <t>(9.00402e-05,0)</t>
  </si>
  <si>
    <t>(7.59729e-05,0)</t>
  </si>
  <si>
    <t>(0.000678434,0)</t>
  </si>
  <si>
    <t>Damping rate, sigma [1/s] =                    -0.658064</t>
  </si>
  <si>
    <t>Doubling time [s] =                            1.05331</t>
  </si>
  <si>
    <t>Eigenvalue [1/s] = (0.00163327,0.290503)</t>
  </si>
  <si>
    <t>Eigenvector =      (0.0498286,0.00558284)</t>
  </si>
  <si>
    <t xml:space="preserve">   (-0.0014242,-0.00100705)</t>
  </si>
  <si>
    <t xml:space="preserve">  (-0.00319911,-0.00238047)</t>
  </si>
  <si>
    <t xml:space="preserve">  (1.34748e-06,5.79535e-06)</t>
  </si>
  <si>
    <t xml:space="preserve"> (4.09232e-06,-9.26187e-06)</t>
  </si>
  <si>
    <t xml:space="preserve"> (-7.78701e-06,3.38981e-07)</t>
  </si>
  <si>
    <t xml:space="preserve">      (0.0659037,-0.155483)</t>
  </si>
  <si>
    <t xml:space="preserve">      (-0.0438804,0.123209)</t>
  </si>
  <si>
    <t xml:space="preserve">         (0.919932,0.32491)</t>
  </si>
  <si>
    <t>(-0.000402272,-0.000145726)</t>
  </si>
  <si>
    <t xml:space="preserve"> (0.000139694,-0.000425531)</t>
  </si>
  <si>
    <t>(-5.20531e-05,-1.63873e-05)</t>
  </si>
  <si>
    <t>Damping rate, sigma [1/s] =                    -0.00163327</t>
  </si>
  <si>
    <t>Damped natural frequency, omega_d [rad/s] =    0.290503</t>
  </si>
  <si>
    <t>Damped period [s] =                            21.6286</t>
  </si>
  <si>
    <t>Undamped natural frequency, omega_n [rad/s] =  0.206572</t>
  </si>
  <si>
    <t>Doubling time [s] =                            424.391</t>
  </si>
  <si>
    <t>Eigenvalue [1/s] = (0.00163327,-0.290503)</t>
  </si>
  <si>
    <t>Eigenvector =     (0.0498286,-0.00558284)</t>
  </si>
  <si>
    <t xml:space="preserve">    (-0.0014242,0.00100705)</t>
  </si>
  <si>
    <t xml:space="preserve">   (-0.00319911,0.00238047)</t>
  </si>
  <si>
    <t xml:space="preserve"> (1.34748e-06,-5.79535e-06)</t>
  </si>
  <si>
    <t xml:space="preserve">  (4.09232e-06,9.26187e-06)</t>
  </si>
  <si>
    <t>(-7.78701e-06,-3.38981e-07)</t>
  </si>
  <si>
    <t xml:space="preserve">       (0.0659037,0.155483)</t>
  </si>
  <si>
    <t xml:space="preserve">     (-0.0438804,-0.123209)</t>
  </si>
  <si>
    <t xml:space="preserve">        (0.919932,-0.32491)</t>
  </si>
  <si>
    <t xml:space="preserve"> (-0.000402272,0.000145726)</t>
  </si>
  <si>
    <t xml:space="preserve">  (0.000139694,0.000425531)</t>
  </si>
  <si>
    <t xml:space="preserve"> (-5.20531e-05,1.63873e-05)</t>
  </si>
  <si>
    <t>Undamped natural frequency, omega_n [rad/s] =  0.204262</t>
  </si>
  <si>
    <t>Eigenvalue [1/s] = (0.0309482,0)</t>
  </si>
  <si>
    <t>Eigenvector =   (0.00229695,0)</t>
  </si>
  <si>
    <t>(-4.74815e-05,0)</t>
  </si>
  <si>
    <t xml:space="preserve"> (0.000137303,0)</t>
  </si>
  <si>
    <t xml:space="preserve"> (7.01658e-08,0)</t>
  </si>
  <si>
    <t xml:space="preserve"> (1.55474e-06,0)</t>
  </si>
  <si>
    <t>(-1.53987e-07,0)</t>
  </si>
  <si>
    <t xml:space="preserve">   (0.0744381,0)</t>
  </si>
  <si>
    <t xml:space="preserve">     (0.99722,0)</t>
  </si>
  <si>
    <t xml:space="preserve">  (0.00256763,0)</t>
  </si>
  <si>
    <t xml:space="preserve"> (1.50572e-06,0)</t>
  </si>
  <si>
    <t>(-3.41608e-07,0)</t>
  </si>
  <si>
    <t xml:space="preserve"> (4.85119e-05,0)</t>
  </si>
  <si>
    <t>Damping rate, sigma [1/s] =                    -0.0309482</t>
  </si>
  <si>
    <t>Doubling time [s] =                            22.397</t>
  </si>
  <si>
    <t>Eigenvalue [1/s] = (1.80268e-06,0)</t>
  </si>
  <si>
    <t>Eigenvector =  (7.28713e-12,0)</t>
  </si>
  <si>
    <t xml:space="preserve"> (9.11074e-14,0)</t>
  </si>
  <si>
    <t xml:space="preserve"> (6.66831e-13,0)</t>
  </si>
  <si>
    <t xml:space="preserve"> (-1.8164e-15,0)</t>
  </si>
  <si>
    <t xml:space="preserve"> (5.25071e-15,0)</t>
  </si>
  <si>
    <t>(-6.01436e-16,0)</t>
  </si>
  <si>
    <t xml:space="preserve"> (3.95021e-06,0)</t>
  </si>
  <si>
    <t xml:space="preserve">           (1,0)</t>
  </si>
  <si>
    <t>(-1.64972e-06,0)</t>
  </si>
  <si>
    <t xml:space="preserve"> (5.40339e-15,0)</t>
  </si>
  <si>
    <t xml:space="preserve"> (4.47427e-15,0)</t>
  </si>
  <si>
    <t xml:space="preserve"> (2.84685e-09,0)</t>
  </si>
  <si>
    <t>Damping rate, sigma [1/s] =                    -1.80268e-06</t>
  </si>
  <si>
    <t>Doubling time [s] =                            384509</t>
  </si>
  <si>
    <t>Eigenvalue [1/s] = (-1.80258e-06,0)</t>
  </si>
  <si>
    <t>Eigenvector = (-7.28615e-12,0)</t>
  </si>
  <si>
    <t>(-9.22136e-14,0)</t>
  </si>
  <si>
    <t>(-6.66723e-13,0)</t>
  </si>
  <si>
    <t xml:space="preserve"> (1.75764e-15,0)</t>
  </si>
  <si>
    <t>(-5.25028e-15,0)</t>
  </si>
  <si>
    <t xml:space="preserve"> (5.91071e-16,0)</t>
  </si>
  <si>
    <t xml:space="preserve"> (3.94994e-06,0)</t>
  </si>
  <si>
    <t xml:space="preserve">          (-1,0)</t>
  </si>
  <si>
    <t>(-1.64982e-06,0)</t>
  </si>
  <si>
    <t>(-5.40183e-15,0)</t>
  </si>
  <si>
    <t>(-4.47619e-15,0)</t>
  </si>
  <si>
    <t xml:space="preserve"> (2.84669e-09,0)</t>
  </si>
  <si>
    <t>Damping rate, sigma [1/s] =                    1.80258e-06</t>
  </si>
  <si>
    <t>99% Damping Time [s] =                         2.55477e+06</t>
  </si>
  <si>
    <t>Eigenvalue [1/s] = (-3.53971e-15,0)</t>
  </si>
  <si>
    <t>Eigenvector =  (3.95572e-15,0)</t>
  </si>
  <si>
    <t>(-1.29956e-14,0)</t>
  </si>
  <si>
    <t>(-1.50584e-14,0)</t>
  </si>
  <si>
    <t>(-8.43931e-16,0)</t>
  </si>
  <si>
    <t>(-4.68951e-17,0)</t>
  </si>
  <si>
    <t>(-6.83877e-17,0)</t>
  </si>
  <si>
    <t xml:space="preserve">    (0.972031,0)</t>
  </si>
  <si>
    <t xml:space="preserve">   (-0.184621,0)</t>
  </si>
  <si>
    <t xml:space="preserve">    (0.145156,0)</t>
  </si>
  <si>
    <t xml:space="preserve"> (1.78928e-16,0)</t>
  </si>
  <si>
    <t xml:space="preserve"> (9.25409e-19,0)</t>
  </si>
  <si>
    <t xml:space="preserve"> (3.58133e-17,0)</t>
  </si>
  <si>
    <t>Damping rate, sigma [1/s] =                    3.53971e-15</t>
  </si>
  <si>
    <t>99% Damping Time [s] =                         1.301e+15</t>
  </si>
  <si>
    <t>Eigenvalue [1/s] = (6.49497e-13,0)</t>
  </si>
  <si>
    <t>Eigenvector =  (1.52886e-13,0)</t>
  </si>
  <si>
    <t xml:space="preserve"> (4.25752e-14,0)</t>
  </si>
  <si>
    <t>(-7.38017e-14,0)</t>
  </si>
  <si>
    <t>(-2.34429e-16,0)</t>
  </si>
  <si>
    <t>(-1.46977e-17,0)</t>
  </si>
  <si>
    <t>(-9.00311e-18,0)</t>
  </si>
  <si>
    <t xml:space="preserve">    (0.194292,0)</t>
  </si>
  <si>
    <t xml:space="preserve">   (-0.536465,0)</t>
  </si>
  <si>
    <t xml:space="preserve">   (-0.821252,0)</t>
  </si>
  <si>
    <t>(-1.93106e-17,0)</t>
  </si>
  <si>
    <t xml:space="preserve"> (8.77835e-16,0)</t>
  </si>
  <si>
    <t>(-4.20299e-16,0)</t>
  </si>
  <si>
    <t>Damping rate, sigma [1/s] =                    -6.49497e-13</t>
  </si>
  <si>
    <t>Doubling time [s] =                            1.06721e+12</t>
  </si>
  <si>
    <t>F16</t>
  </si>
  <si>
    <t>Eigenvalue [1/s] = (-0.187024,3.27942)</t>
  </si>
  <si>
    <t>Eigenvector =   (4.25296e-06,8.84048e-07)</t>
  </si>
  <si>
    <t xml:space="preserve">        (0.585179,0.625079)</t>
  </si>
  <si>
    <t xml:space="preserve"> (0.000465541,-0.000231805)</t>
  </si>
  <si>
    <t xml:space="preserve"> (-0.00821141,-0.000260054)</t>
  </si>
  <si>
    <t xml:space="preserve">   (1.82648e-06,2.2435e-06)</t>
  </si>
  <si>
    <t xml:space="preserve">    (0.0031726,-0.00298663)</t>
  </si>
  <si>
    <t xml:space="preserve"> (1.88191e-06,-2.03939e-06)</t>
  </si>
  <si>
    <t xml:space="preserve">       (-0.345108,0.384249)</t>
  </si>
  <si>
    <t xml:space="preserve"> (4.30505e-05,-1.86416e-05)</t>
  </si>
  <si>
    <t xml:space="preserve">   (2.55709e-05,0.00246456)</t>
  </si>
  <si>
    <t xml:space="preserve"> (6.50239e-07,-5.94035e-07)</t>
  </si>
  <si>
    <t>(-0.000963498,-0.000913221)</t>
  </si>
  <si>
    <t>Damping rate, sigma [1/s] =                    0.187024</t>
  </si>
  <si>
    <t>Damped natural frequency, omega_d [rad/s] =    3.27942</t>
  </si>
  <si>
    <t>Damped period [s] =                            1.91595</t>
  </si>
  <si>
    <t>Undamped natural frequency, omega_n [rad/s] =  2.18665</t>
  </si>
  <si>
    <t>99% Damping Time [s] =                         24.6234</t>
  </si>
  <si>
    <t>Eigenvalue [1/s] = (-0.187024,-3.27942)</t>
  </si>
  <si>
    <t>Eigenvector = (4.25296e-06,-8.84048e-07)</t>
  </si>
  <si>
    <t xml:space="preserve">      (0.585179,-0.625079)</t>
  </si>
  <si>
    <t xml:space="preserve"> (0.000465541,0.000231805)</t>
  </si>
  <si>
    <t xml:space="preserve"> (-0.00821141,0.000260054)</t>
  </si>
  <si>
    <t xml:space="preserve"> (1.82648e-06,-2.2435e-06)</t>
  </si>
  <si>
    <t xml:space="preserve">    (0.0031726,0.00298663)</t>
  </si>
  <si>
    <t xml:space="preserve"> (1.88191e-06,2.03939e-06)</t>
  </si>
  <si>
    <t xml:space="preserve">     (-0.345108,-0.384249)</t>
  </si>
  <si>
    <t xml:space="preserve"> (4.30505e-05,1.86416e-05)</t>
  </si>
  <si>
    <t xml:space="preserve"> (2.55709e-05,-0.00246456)</t>
  </si>
  <si>
    <t xml:space="preserve"> (6.50239e-07,5.94035e-07)</t>
  </si>
  <si>
    <t>(-0.000963498,0.000913221)</t>
  </si>
  <si>
    <t>Undamped natural frequency, omega_n [rad/s] =  2.45114</t>
  </si>
  <si>
    <t>Eigenvalue [1/s] = (-2.70959,0)</t>
  </si>
  <si>
    <t>Eigenvector =   (0.00191994,0)</t>
  </si>
  <si>
    <t xml:space="preserve"> (0.000160193,0)</t>
  </si>
  <si>
    <t xml:space="preserve">    (0.993576,0)</t>
  </si>
  <si>
    <t>(-2.84658e-05,0)</t>
  </si>
  <si>
    <t xml:space="preserve"> (-0.00293658,0)</t>
  </si>
  <si>
    <t xml:space="preserve"> (1.13869e-06,0)</t>
  </si>
  <si>
    <t xml:space="preserve"> (-0.00513618,0)</t>
  </si>
  <si>
    <t xml:space="preserve"> (0.000157451,0)</t>
  </si>
  <si>
    <t xml:space="preserve">   (-0.112989,0)</t>
  </si>
  <si>
    <t xml:space="preserve"> (1.04891e-05,0)</t>
  </si>
  <si>
    <t xml:space="preserve">  (0.00108377,0)</t>
  </si>
  <si>
    <t>(-4.20567e-07,0)</t>
  </si>
  <si>
    <t>Damping rate, sigma [1/s] =                    2.70959</t>
  </si>
  <si>
    <t>99% Damping Time [s] =                         1.69958</t>
  </si>
  <si>
    <t>Eigenvalue [1/s] = (-3.10493,0)</t>
  </si>
  <si>
    <t>Eigenvector =  (1.60661e-06,0)</t>
  </si>
  <si>
    <t xml:space="preserve">   (-0.913614,0)</t>
  </si>
  <si>
    <t xml:space="preserve"> (0.000606646,0)</t>
  </si>
  <si>
    <t xml:space="preserve">   (-0.223213,0)</t>
  </si>
  <si>
    <t xml:space="preserve"> (-2.1897e-06,0)</t>
  </si>
  <si>
    <t xml:space="preserve"> (-0.00057616,0)</t>
  </si>
  <si>
    <t xml:space="preserve"> (-2.5286e-06,0)</t>
  </si>
  <si>
    <t xml:space="preserve">   (-0.332136,0)</t>
  </si>
  <si>
    <t>(-5.13195e-05,0)</t>
  </si>
  <si>
    <t xml:space="preserve">   (0.0718971,0)</t>
  </si>
  <si>
    <t xml:space="preserve"> (7.05232e-07,0)</t>
  </si>
  <si>
    <t xml:space="preserve"> (0.000185705,0)</t>
  </si>
  <si>
    <t>Damping rate, sigma [1/s] =                    3.10493</t>
  </si>
  <si>
    <t>99% Damping Time [s] =                         1.48318</t>
  </si>
  <si>
    <t>Eigenvalue [1/s] = (1.05992,0)</t>
  </si>
  <si>
    <t>Eigenvector =    (0.0437197,0)</t>
  </si>
  <si>
    <t xml:space="preserve"> (0.000299705,0)</t>
  </si>
  <si>
    <t xml:space="preserve">   (-0.740344,0)</t>
  </si>
  <si>
    <t>(-3.36263e-06,0)</t>
  </si>
  <si>
    <t xml:space="preserve">  (-0.0024241,0)</t>
  </si>
  <si>
    <t>(-7.91528e-07,0)</t>
  </si>
  <si>
    <t xml:space="preserve">   (0.0674292,0)</t>
  </si>
  <si>
    <t xml:space="preserve"> (-0.00072945,0)</t>
  </si>
  <si>
    <t xml:space="preserve">    (0.667399,0)</t>
  </si>
  <si>
    <t>(-3.20178e-06,0)</t>
  </si>
  <si>
    <t xml:space="preserve"> (-0.00228705,0)</t>
  </si>
  <si>
    <t>(-7.47351e-07,0)</t>
  </si>
  <si>
    <t>Damping rate, sigma [1/s] =                    -1.05992</t>
  </si>
  <si>
    <t>Doubling time [s] =                            0.653959</t>
  </si>
  <si>
    <t>Eigenvalue [1/s] = (-0.00293109,0.089028)</t>
  </si>
  <si>
    <t>Eigenvector =       (0.0218673,0.0381302)</t>
  </si>
  <si>
    <t>(-5.48881e-07,-1.45326e-06)</t>
  </si>
  <si>
    <t xml:space="preserve">   (0.000464868,0.00120316)</t>
  </si>
  <si>
    <t xml:space="preserve">  (1.12105e-08,1.92755e-08)</t>
  </si>
  <si>
    <t xml:space="preserve">  (5.19071e-06,9.51681e-06)</t>
  </si>
  <si>
    <t xml:space="preserve">  (1.06576e-08,-6.3044e-09)</t>
  </si>
  <si>
    <t xml:space="preserve">       (0.438114,-0.230826)</t>
  </si>
  <si>
    <t xml:space="preserve">  (-0.000800495,0.00055197)</t>
  </si>
  <si>
    <t xml:space="preserve">        (0.460403,0.735439)</t>
  </si>
  <si>
    <t xml:space="preserve">   (2.09209e-07,-1.375e-07)</t>
  </si>
  <si>
    <t xml:space="preserve"> (0.000104864,-6.17567e-05)</t>
  </si>
  <si>
    <t>(-7.47313e-08,-1.17342e-07)</t>
  </si>
  <si>
    <t>Damping rate, sigma [1/s] =                    0.00293109</t>
  </si>
  <si>
    <t>Damped natural frequency, omega_d [rad/s] =    0.089028</t>
  </si>
  <si>
    <t>Damped period [s] =                            70.5754</t>
  </si>
  <si>
    <t>Undamped natural frequency, omega_n [rad/s] =  0.0608797</t>
  </si>
  <si>
    <t>99% Damping Time [s] =                         1571.15</t>
  </si>
  <si>
    <t>Eigenvalue [1/s] = (-0.00293109,-0.089028)</t>
  </si>
  <si>
    <t>Eigenvector =     (0.0218673,-0.0381302)</t>
  </si>
  <si>
    <t>(-5.48881e-07,1.45326e-06)</t>
  </si>
  <si>
    <t xml:space="preserve"> (0.000464868,-0.00120316)</t>
  </si>
  <si>
    <t>(1.12105e-08,-1.92755e-08)</t>
  </si>
  <si>
    <t>(5.19071e-06,-9.51681e-06)</t>
  </si>
  <si>
    <t xml:space="preserve">  (1.06576e-08,6.3044e-09)</t>
  </si>
  <si>
    <t xml:space="preserve">       (0.438114,0.230826)</t>
  </si>
  <si>
    <t>(-0.000800495,-0.00055197)</t>
  </si>
  <si>
    <t xml:space="preserve">      (0.460403,-0.735439)</t>
  </si>
  <si>
    <t xml:space="preserve">   (2.09209e-07,1.375e-07)</t>
  </si>
  <si>
    <t xml:space="preserve"> (0.000104864,6.17567e-05)</t>
  </si>
  <si>
    <t>(-7.47313e-08,1.17342e-07)</t>
  </si>
  <si>
    <t>Undamped natural frequency, omega_n [rad/s] =  0.0650249</t>
  </si>
  <si>
    <t>Eigenvalue [1/s] = (0.00181431,0)</t>
  </si>
  <si>
    <t>Eigenvector = (-1.93394e-08,0)</t>
  </si>
  <si>
    <t xml:space="preserve"> (8.90732e-08,0)</t>
  </si>
  <si>
    <t xml:space="preserve"> (2.56707e-09,0)</t>
  </si>
  <si>
    <t>(-1.67371e-11,0)</t>
  </si>
  <si>
    <t xml:space="preserve"> (9.62154e-15,0)</t>
  </si>
  <si>
    <t xml:space="preserve"> (5.19225e-09,0)</t>
  </si>
  <si>
    <t>(-1.06893e-05,0)</t>
  </si>
  <si>
    <t>(-5.55118e-07,0)</t>
  </si>
  <si>
    <t xml:space="preserve"> (1.02905e-07,0)</t>
  </si>
  <si>
    <t xml:space="preserve"> (6.83398e-12,0)</t>
  </si>
  <si>
    <t xml:space="preserve"> (2.86402e-06,0)</t>
  </si>
  <si>
    <t>Damping rate, sigma [1/s] =                    -0.00181431</t>
  </si>
  <si>
    <t>Doubling time [s] =                            382.044</t>
  </si>
  <si>
    <t>Eigenvalue [1/s] = (-3.35386e-08,1.10314e-05)</t>
  </si>
  <si>
    <t>Eigenvector =  (-3.09518e-13,2.15591e-11)</t>
  </si>
  <si>
    <t xml:space="preserve"> (7.07009e-14,-3.58215e-12)</t>
  </si>
  <si>
    <t xml:space="preserve">  (6.6586e-14,-4.66483e-12)</t>
  </si>
  <si>
    <t xml:space="preserve"> (-1.10365e-16,7.53513e-15)</t>
  </si>
  <si>
    <t xml:space="preserve"> (3.93772e-17,-2.77713e-15)</t>
  </si>
  <si>
    <t xml:space="preserve"> (3.88155e-15,-1.91866e-13)</t>
  </si>
  <si>
    <t xml:space="preserve">   (1.95466e-06,2.2136e-08)</t>
  </si>
  <si>
    <t xml:space="preserve">        (-0.0141452,0.9999)</t>
  </si>
  <si>
    <t xml:space="preserve"> (-2.98691e-08,1.00842e-10)</t>
  </si>
  <si>
    <t xml:space="preserve">  (7.69811e-14,-3.8063e-12)</t>
  </si>
  <si>
    <t xml:space="preserve"> (1.24186e-16,-8.15998e-15)</t>
  </si>
  <si>
    <t>(-1.74105e-08,-2.99251e-10)</t>
  </si>
  <si>
    <t>Damping rate, sigma [1/s] =                    3.35386e-08</t>
  </si>
  <si>
    <t>Damped natural frequency, omega_d [rad/s] =    1.10314e-05</t>
  </si>
  <si>
    <t>Damped period [s] =                            569575</t>
  </si>
  <si>
    <t>Undamped natural frequency, omega_n [rad/s] =  7.77663e-06</t>
  </si>
  <si>
    <t>99% Damping Time [s] =                         1.37309e+08</t>
  </si>
  <si>
    <t>Eigenvalue [1/s] = (-3.35386e-08,-1.10314e-05)</t>
  </si>
  <si>
    <t>Eigenvector = (-3.09518e-13,-2.15591e-11)</t>
  </si>
  <si>
    <t xml:space="preserve">  (7.07009e-14,3.58215e-12)</t>
  </si>
  <si>
    <t xml:space="preserve">   (6.6586e-14,4.66483e-12)</t>
  </si>
  <si>
    <t>(-1.10365e-16,-7.53513e-15)</t>
  </si>
  <si>
    <t xml:space="preserve">  (3.93772e-17,2.77713e-15)</t>
  </si>
  <si>
    <t xml:space="preserve">  (3.88155e-15,1.91866e-13)</t>
  </si>
  <si>
    <t xml:space="preserve">  (1.95466e-06,-2.2136e-08)</t>
  </si>
  <si>
    <t xml:space="preserve">       (-0.0141452,-0.9999)</t>
  </si>
  <si>
    <t>(-2.98691e-08,-1.00842e-10)</t>
  </si>
  <si>
    <t xml:space="preserve">   (7.69811e-14,3.8063e-12)</t>
  </si>
  <si>
    <t xml:space="preserve">  (1.24186e-16,8.15998e-15)</t>
  </si>
  <si>
    <t xml:space="preserve"> (-1.74105e-08,2.99251e-10)</t>
  </si>
  <si>
    <t>Undamped natural frequency, omega_n [rad/s] =  7.82406e-06</t>
  </si>
  <si>
    <t>Eigenvalue [1/s] = (3.07681e-15,3.20955e-14)</t>
  </si>
  <si>
    <t>Eigenvector =   (3.1851e-14,-2.25506e-15)</t>
  </si>
  <si>
    <t>(-3.17468e-16,-3.51804e-16)</t>
  </si>
  <si>
    <t>(-6.82033e-15,-1.20452e-14)</t>
  </si>
  <si>
    <t xml:space="preserve"> (1.47678e-17,-3.92302e-16)</t>
  </si>
  <si>
    <t xml:space="preserve">   (3.84078e-19,-6.272e-17)</t>
  </si>
  <si>
    <t xml:space="preserve">  (6.52933e-19,7.19186e-18)</t>
  </si>
  <si>
    <t xml:space="preserve">     (0.00195822,-0.991924)</t>
  </si>
  <si>
    <t xml:space="preserve">  (0.00143193,-0.000129196)</t>
  </si>
  <si>
    <t xml:space="preserve">    (-0.126588,-0.00756037)</t>
  </si>
  <si>
    <t xml:space="preserve"> (-1.24825e-17,1.36924e-16)</t>
  </si>
  <si>
    <t>(-1.28282e-17,-1.32315e-17)</t>
  </si>
  <si>
    <t xml:space="preserve"> (-7.3695e-19,-1.03821e-18)</t>
  </si>
  <si>
    <t>Damping rate, sigma [1/s] =                    -3.07681e-15</t>
  </si>
  <si>
    <t>Damped natural frequency, omega_d [rad/s] =    3.20955e-14</t>
  </si>
  <si>
    <t>Damped period [s] =                            1.95765e+14</t>
  </si>
  <si>
    <t>Undamped natural frequency, omega_n [rad/s] =  2.48706e-14</t>
  </si>
  <si>
    <t>Doubling time [s] =                            2.25281e+14</t>
  </si>
  <si>
    <t>Eigenvalue [1/s] = (3.07681e-15,-3.20955e-14)</t>
  </si>
  <si>
    <t>Eigenvector =    (3.1851e-14,2.25506e-15)</t>
  </si>
  <si>
    <t xml:space="preserve"> (-3.17468e-16,3.51804e-16)</t>
  </si>
  <si>
    <t xml:space="preserve"> (-6.82033e-15,1.20452e-14)</t>
  </si>
  <si>
    <t xml:space="preserve">  (1.47678e-17,3.92302e-16)</t>
  </si>
  <si>
    <t xml:space="preserve">    (3.84078e-19,6.272e-17)</t>
  </si>
  <si>
    <t xml:space="preserve"> (6.52933e-19,-7.19186e-18)</t>
  </si>
  <si>
    <t xml:space="preserve">      (0.00195822,0.991924)</t>
  </si>
  <si>
    <t xml:space="preserve">   (0.00143193,0.000129196)</t>
  </si>
  <si>
    <t xml:space="preserve">     (-0.126588,0.00756037)</t>
  </si>
  <si>
    <t>(-1.24825e-17,-1.36924e-16)</t>
  </si>
  <si>
    <t xml:space="preserve"> (-1.28282e-17,1.32315e-17)</t>
  </si>
  <si>
    <t xml:space="preserve">  (-7.3695e-19,1.03821e-18)</t>
  </si>
  <si>
    <t>Undamped natural frequency, omega_n [rad/s] =  2.05193e-14</t>
  </si>
  <si>
    <t>Eigenvalue [1/s] = (-0.184306,3.28297)</t>
  </si>
  <si>
    <t>Eigenvector =   (0.000275835,8.6209e-05)</t>
  </si>
  <si>
    <t xml:space="preserve">       (0.685015,0.536834)</t>
  </si>
  <si>
    <t>(-0.000126293,0.000806595)</t>
  </si>
  <si>
    <t xml:space="preserve">  (-0.00828733,0.00100467)</t>
  </si>
  <si>
    <t xml:space="preserve"> (2.80357e-06,4.50117e-05)</t>
  </si>
  <si>
    <t xml:space="preserve">   (0.00272003,-0.0035076)</t>
  </si>
  <si>
    <t>(0.000234019,-2.11976e-05)</t>
  </si>
  <si>
    <t xml:space="preserve">      (-0.269601,0.412006)</t>
  </si>
  <si>
    <t xml:space="preserve">    (0.0053452,0.00161205)</t>
  </si>
  <si>
    <t xml:space="preserve">  (0.000406351,0.00246843)</t>
  </si>
  <si>
    <t xml:space="preserve"> (0.000379246,0.000263561)</t>
  </si>
  <si>
    <t xml:space="preserve"> (-0.00104052,-0.00072114)</t>
  </si>
  <si>
    <t>Damping rate, sigma [1/s] =                    0.184306</t>
  </si>
  <si>
    <t>Damped natural frequency, omega_d [rad/s] =    3.28297</t>
  </si>
  <si>
    <t>Damped period [s] =                            1.91387</t>
  </si>
  <si>
    <t>Undamped natural frequency, omega_n [rad/s] =  2.19108</t>
  </si>
  <si>
    <t>99% Damping Time [s] =                         24.9866</t>
  </si>
  <si>
    <t>Eigenvalue [1/s] = (-0.184306,-3.28297)</t>
  </si>
  <si>
    <t>Eigenvector =   (0.000275835,-8.6209e-05)</t>
  </si>
  <si>
    <t xml:space="preserve">       (0.685015,-0.536834)</t>
  </si>
  <si>
    <t>(-0.000126293,-0.000806595)</t>
  </si>
  <si>
    <t xml:space="preserve">  (-0.00828733,-0.00100467)</t>
  </si>
  <si>
    <t xml:space="preserve"> (2.80357e-06,-4.50117e-05)</t>
  </si>
  <si>
    <t xml:space="preserve">     (0.00272003,0.0035076)</t>
  </si>
  <si>
    <t xml:space="preserve">  (0.000234019,2.11976e-05)</t>
  </si>
  <si>
    <t xml:space="preserve">      (-0.269601,-0.412006)</t>
  </si>
  <si>
    <t xml:space="preserve">    (0.0053452,-0.00161205)</t>
  </si>
  <si>
    <t xml:space="preserve">  (0.000406351,-0.00246843)</t>
  </si>
  <si>
    <t xml:space="preserve"> (0.000379246,-0.000263561)</t>
  </si>
  <si>
    <t xml:space="preserve">   (-0.00104052,0.00072114)</t>
  </si>
  <si>
    <t>Undamped natural frequency, omega_n [rad/s] =  2.45173</t>
  </si>
  <si>
    <t>Eigenvalue [1/s] = (-2.70839,0)</t>
  </si>
  <si>
    <t>Eigenvector =     (0.003025,0)</t>
  </si>
  <si>
    <t xml:space="preserve">  (0.00149762,0)</t>
  </si>
  <si>
    <t xml:space="preserve">    (0.972716,0)</t>
  </si>
  <si>
    <t xml:space="preserve"> (0.000235013,0)</t>
  </si>
  <si>
    <t xml:space="preserve"> (-0.00287854,0)</t>
  </si>
  <si>
    <t xml:space="preserve"> (2.38975e-07,0)</t>
  </si>
  <si>
    <t xml:space="preserve"> (-0.00524816,0)</t>
  </si>
  <si>
    <t xml:space="preserve">   (-0.207327,0)</t>
  </si>
  <si>
    <t xml:space="preserve">   (-0.103882,0)</t>
  </si>
  <si>
    <t>(-7.91256e-05,0)</t>
  </si>
  <si>
    <t xml:space="preserve">  (0.00099822,0)</t>
  </si>
  <si>
    <t xml:space="preserve"> (0.000363441,0)</t>
  </si>
  <si>
    <t>Damping rate, sigma [1/s] =                    2.70839</t>
  </si>
  <si>
    <t>99% Damping Time [s] =                         1.70034</t>
  </si>
  <si>
    <t>Eigenvalue [1/s] = (-3.1079,0)</t>
  </si>
  <si>
    <t>Eigenvector =  (-0.00320489,0)</t>
  </si>
  <si>
    <t xml:space="preserve">    (0.911532,0)</t>
  </si>
  <si>
    <t xml:space="preserve">    (0.189876,0)</t>
  </si>
  <si>
    <t xml:space="preserve">    (0.213835,0)</t>
  </si>
  <si>
    <t xml:space="preserve"> (-0.00193779,0)</t>
  </si>
  <si>
    <t xml:space="preserve"> (0.000941523,0)</t>
  </si>
  <si>
    <t xml:space="preserve"> (-0.00295444,0)</t>
  </si>
  <si>
    <t xml:space="preserve">    (0.269296,0)</t>
  </si>
  <si>
    <t xml:space="preserve">   (-0.100262,0)</t>
  </si>
  <si>
    <t xml:space="preserve">  (-0.0688082,0)</t>
  </si>
  <si>
    <t xml:space="preserve"> (0.000281489,0)</t>
  </si>
  <si>
    <t>(-7.15474e-05,0)</t>
  </si>
  <si>
    <t>Damping rate, sigma [1/s] =                    3.1079</t>
  </si>
  <si>
    <t>99% Damping Time [s] =                         1.48176</t>
  </si>
  <si>
    <t>Eigenvalue [1/s] = (1.06099,0)</t>
  </si>
  <si>
    <t>Eigenvector =    (0.0357851,0)</t>
  </si>
  <si>
    <t xml:space="preserve"> (0.000140687,0)</t>
  </si>
  <si>
    <t xml:space="preserve">   (-0.616232,0)</t>
  </si>
  <si>
    <t>(-7.79787e-06,0)</t>
  </si>
  <si>
    <t xml:space="preserve"> (-0.00201639,0)</t>
  </si>
  <si>
    <t>(-2.39802e-06,0)</t>
  </si>
  <si>
    <t xml:space="preserve">   (0.0543716,0)</t>
  </si>
  <si>
    <t xml:space="preserve">   (-0.589186,0)</t>
  </si>
  <si>
    <t xml:space="preserve">     (0.51853,0)</t>
  </si>
  <si>
    <t>(-6.43149e-05,0)</t>
  </si>
  <si>
    <t xml:space="preserve"> (-0.00178397,0)</t>
  </si>
  <si>
    <t>(-0.000653871,0)</t>
  </si>
  <si>
    <t>Damping rate, sigma [1/s] =                    -1.06099</t>
  </si>
  <si>
    <t>Doubling time [s] =                            0.6533</t>
  </si>
  <si>
    <t>Eigenvalue [1/s] = (-0.0025886,0.0893267)</t>
  </si>
  <si>
    <t>Eigenvector =       (0.0125704,0.0418793)</t>
  </si>
  <si>
    <t>(-8.06046e-06,-6.13481e-05)</t>
  </si>
  <si>
    <t xml:space="preserve">   (0.000155056,0.00115893)</t>
  </si>
  <si>
    <t xml:space="preserve">  (-1.59323e-07,5.7137e-08)</t>
  </si>
  <si>
    <t xml:space="preserve">  (2.74615e-06,9.89881e-06)</t>
  </si>
  <si>
    <t>(-7.63831e-07,-2.15518e-06)</t>
  </si>
  <si>
    <t xml:space="preserve">       (0.475731,-0.121789)</t>
  </si>
  <si>
    <t xml:space="preserve">      (-0.0253546,-0.10511)</t>
  </si>
  <si>
    <t xml:space="preserve">        (0.276633,0.817752)</t>
  </si>
  <si>
    <t xml:space="preserve">  (-6.9586e-06,-2.2058e-05)</t>
  </si>
  <si>
    <t xml:space="preserve">  (0.000115875,-3.6607e-05)</t>
  </si>
  <si>
    <t xml:space="preserve"> (1.48289e-05,-3.86233e-06)</t>
  </si>
  <si>
    <t>Damping rate, sigma [1/s] =                    0.0025886</t>
  </si>
  <si>
    <t>Damped natural frequency, omega_d [rad/s] =    0.0893267</t>
  </si>
  <si>
    <t>Damped period [s] =                            70.3394</t>
  </si>
  <si>
    <t>Undamped natural frequency, omega_n [rad/s] =  0.0613331</t>
  </si>
  <si>
    <t>99% Damping Time [s] =                         1779.02</t>
  </si>
  <si>
    <t>Eigenvalue [1/s] = (-0.0025886,-0.0893267)</t>
  </si>
  <si>
    <t>Eigenvector =     (0.0125704,-0.0418793)</t>
  </si>
  <si>
    <t>(-8.06046e-06,6.13481e-05)</t>
  </si>
  <si>
    <t xml:space="preserve"> (0.000155056,-0.00115893)</t>
  </si>
  <si>
    <t>(-1.59323e-07,-5.7137e-08)</t>
  </si>
  <si>
    <t>(2.74615e-06,-9.89881e-06)</t>
  </si>
  <si>
    <t>(-7.63831e-07,2.15518e-06)</t>
  </si>
  <si>
    <t xml:space="preserve">       (0.475731,0.121789)</t>
  </si>
  <si>
    <t xml:space="preserve">      (-0.0253546,0.10511)</t>
  </si>
  <si>
    <t xml:space="preserve">      (0.276633,-0.817752)</t>
  </si>
  <si>
    <t xml:space="preserve">  (-6.9586e-06,2.2058e-05)</t>
  </si>
  <si>
    <t xml:space="preserve">  (0.000115875,3.6607e-05)</t>
  </si>
  <si>
    <t xml:space="preserve"> (1.48289e-05,3.86233e-06)</t>
  </si>
  <si>
    <t>Undamped natural frequency, omega_n [rad/s] =  0.0649939</t>
  </si>
  <si>
    <t>Eigenvalue [1/s] = (0.00215977,0)</t>
  </si>
  <si>
    <t>Eigenvector = (7.52059e-06,0)</t>
  </si>
  <si>
    <t>(1.00147e-07,0)</t>
  </si>
  <si>
    <t>(5.65682e-07,0)</t>
  </si>
  <si>
    <t>(1.09923e-11,0)</t>
  </si>
  <si>
    <t>(4.80961e-09,0)</t>
  </si>
  <si>
    <t>(6.07937e-09,0)</t>
  </si>
  <si>
    <t xml:space="preserve"> (0.00350073,0)</t>
  </si>
  <si>
    <t xml:space="preserve">   (0.999994,0)</t>
  </si>
  <si>
    <t>(0.000398692,0)</t>
  </si>
  <si>
    <t>(1.32522e-07,0)</t>
  </si>
  <si>
    <t>(-9.3843e-10,0)</t>
  </si>
  <si>
    <t>(3.40909e-06,0)</t>
  </si>
  <si>
    <t>Damping rate, sigma [1/s] =                    -0.00215977</t>
  </si>
  <si>
    <t>Doubling time [s] =                            320.936</t>
  </si>
  <si>
    <t>Eigenvalue [1/s] = (1.11968e-05,0)</t>
  </si>
  <si>
    <t>Eigenvector =  (2.05894e-10,0)</t>
  </si>
  <si>
    <t xml:space="preserve"> (3.07495e-12,0)</t>
  </si>
  <si>
    <t xml:space="preserve"> (1.47804e-11,0)</t>
  </si>
  <si>
    <t>(-7.62237e-15,0)</t>
  </si>
  <si>
    <t xml:space="preserve"> (1.29448e-13,0)</t>
  </si>
  <si>
    <t xml:space="preserve"> (1.63371e-13,0)</t>
  </si>
  <si>
    <t xml:space="preserve"> (1.84543e-05,0)</t>
  </si>
  <si>
    <t xml:space="preserve"> (1.30075e-06,0)</t>
  </si>
  <si>
    <t xml:space="preserve">  (3.5662e-12,0)</t>
  </si>
  <si>
    <t>(-1.24142e-14,0)</t>
  </si>
  <si>
    <t xml:space="preserve"> (1.76745e-08,0)</t>
  </si>
  <si>
    <t>Damping rate, sigma [1/s] =                    -1.11968e-05</t>
  </si>
  <si>
    <t>Doubling time [s] =                            61906</t>
  </si>
  <si>
    <t>Eigenvalue [1/s] = (-1.11389e-05,0)</t>
  </si>
  <si>
    <t>Eigenvector =  (-2.0381e-10,0)</t>
  </si>
  <si>
    <t>(-3.04741e-12,0)</t>
  </si>
  <si>
    <t>(-1.46237e-11,0)</t>
  </si>
  <si>
    <t xml:space="preserve"> (7.62832e-15,0)</t>
  </si>
  <si>
    <t>(-1.28116e-13,0)</t>
  </si>
  <si>
    <t>(-1.61685e-13,0)</t>
  </si>
  <si>
    <t xml:space="preserve"> (1.83621e-05,0)</t>
  </si>
  <si>
    <t xml:space="preserve"> (1.28595e-06,0)</t>
  </si>
  <si>
    <t xml:space="preserve"> (-3.5295e-12,0)</t>
  </si>
  <si>
    <t xml:space="preserve"> (1.21518e-14,0)</t>
  </si>
  <si>
    <t xml:space="preserve"> (1.75832e-08,0)</t>
  </si>
  <si>
    <t>Damping rate, sigma [1/s] =                    1.11389e-05</t>
  </si>
  <si>
    <t>99% Damping Time [s] =                         413430</t>
  </si>
  <si>
    <t>Eigenvalue [1/s] = (-9.04953e-15,0)</t>
  </si>
  <si>
    <t>Eigenvector =   (8.6824e-15,0)</t>
  </si>
  <si>
    <t xml:space="preserve"> (5.95486e-15,0)</t>
  </si>
  <si>
    <t xml:space="preserve"> (-4.7878e-14,0)</t>
  </si>
  <si>
    <t xml:space="preserve"> (4.16423e-16,0)</t>
  </si>
  <si>
    <t>(-5.23071e-17,0)</t>
  </si>
  <si>
    <t>(-2.75097e-17,0)</t>
  </si>
  <si>
    <t xml:space="preserve">   (-0.972114,0)</t>
  </si>
  <si>
    <t xml:space="preserve">   (0.0269861,0)</t>
  </si>
  <si>
    <t xml:space="preserve">    (0.232951,0)</t>
  </si>
  <si>
    <t>(-1.70483e-17,0)</t>
  </si>
  <si>
    <t xml:space="preserve"> (-7.0324e-17,0)</t>
  </si>
  <si>
    <t>(-2.87689e-17,0)</t>
  </si>
  <si>
    <t>Damping rate, sigma [1/s] =                    9.04953e-15</t>
  </si>
  <si>
    <t>99% Damping Time [s] =                         5.08885e+14</t>
  </si>
  <si>
    <t>Eigenvalue [1/s] = (8.54294e-14,0)</t>
  </si>
  <si>
    <t>Eigenvector =   (8.3559e-14,0)</t>
  </si>
  <si>
    <t xml:space="preserve"> (1.03396e-14,0)</t>
  </si>
  <si>
    <t xml:space="preserve"> (3.17186e-14,0)</t>
  </si>
  <si>
    <t>(-2.82221e-16,0)</t>
  </si>
  <si>
    <t xml:space="preserve"> (4.63356e-17,0)</t>
  </si>
  <si>
    <t xml:space="preserve"> (1.58823e-17,0)</t>
  </si>
  <si>
    <t xml:space="preserve">    (0.992595,0)</t>
  </si>
  <si>
    <t xml:space="preserve">   (-0.107376,0)</t>
  </si>
  <si>
    <t xml:space="preserve">   (0.0567925,0)</t>
  </si>
  <si>
    <t xml:space="preserve"> (1.33228e-16,0)</t>
  </si>
  <si>
    <t xml:space="preserve"> (5.22968e-17,0)</t>
  </si>
  <si>
    <t xml:space="preserve">  (4.2457e-17,0)</t>
  </si>
  <si>
    <t>Damping rate, sigma [1/s] =                    -8.54294e-14</t>
  </si>
  <si>
    <t>Doubling time [s] =                            8.11368e+12</t>
  </si>
  <si>
    <t>Eigenvalue [1/s] = (-0.173472,3.29684)</t>
  </si>
  <si>
    <t>Eigenvector =  (0.000116344,0.000517861)</t>
  </si>
  <si>
    <t xml:space="preserve">       (-0.21088,0.884292)</t>
  </si>
  <si>
    <t xml:space="preserve"> (-0.00180234,0.000277684)</t>
  </si>
  <si>
    <t xml:space="preserve"> (-0.00452279,-0.00744387)</t>
  </si>
  <si>
    <t xml:space="preserve"> (-7.7035e-05,3.87664e-05)</t>
  </si>
  <si>
    <t xml:space="preserve">   (0.00455756,0.00102517)</t>
  </si>
  <si>
    <t xml:space="preserve"> (0.000253909,0.000376056)</t>
  </si>
  <si>
    <t xml:space="preserve">     (-0.411442,-0.063688)</t>
  </si>
  <si>
    <t xml:space="preserve">    (0.00238168,0.0100945)</t>
  </si>
  <si>
    <t xml:space="preserve">  (-0.00216022,0.00144424)</t>
  </si>
  <si>
    <t>(-0.000162799,0.000887219)</t>
  </si>
  <si>
    <t xml:space="preserve">  (0.00019095,-0.00105482)</t>
  </si>
  <si>
    <t>Damping rate, sigma [1/s] =                    0.173472</t>
  </si>
  <si>
    <t>Damped natural frequency, omega_d [rad/s] =    3.29684</t>
  </si>
  <si>
    <t>Damped period [s] =                            1.90582</t>
  </si>
  <si>
    <t>Undamped natural frequency, omega_n [rad/s] =  2.20855</t>
  </si>
  <si>
    <t>99% Damping Time [s] =                         26.5471</t>
  </si>
  <si>
    <t>Eigenvalue [1/s] = (-0.173472,-3.29684)</t>
  </si>
  <si>
    <t>Eigenvector =  (0.000116344,-0.000517861)</t>
  </si>
  <si>
    <t xml:space="preserve">       (-0.21088,-0.884292)</t>
  </si>
  <si>
    <t xml:space="preserve"> (-0.00180234,-0.000277684)</t>
  </si>
  <si>
    <t xml:space="preserve">   (-0.00452279,0.00744387)</t>
  </si>
  <si>
    <t xml:space="preserve"> (-7.7035e-05,-3.87664e-05)</t>
  </si>
  <si>
    <t xml:space="preserve">   (0.00455756,-0.00102517)</t>
  </si>
  <si>
    <t xml:space="preserve"> (0.000253909,-0.000376056)</t>
  </si>
  <si>
    <t xml:space="preserve">       (-0.411442,0.063688)</t>
  </si>
  <si>
    <t xml:space="preserve">    (0.00238168,-0.0100945)</t>
  </si>
  <si>
    <t xml:space="preserve">  (-0.00216022,-0.00144424)</t>
  </si>
  <si>
    <t>(-0.000162799,-0.000887219)</t>
  </si>
  <si>
    <t xml:space="preserve">    (0.00019095,0.00105482)</t>
  </si>
  <si>
    <t>Undamped natural frequency, omega_n [rad/s] =  2.45388</t>
  </si>
  <si>
    <t>Eigenvalue [1/s] = (-2.70389,0)</t>
  </si>
  <si>
    <t>Eigenvector =   (0.00675498,0)</t>
  </si>
  <si>
    <t xml:space="preserve">  (0.00281309,0)</t>
  </si>
  <si>
    <t xml:space="preserve">    (0.924722,0)</t>
  </si>
  <si>
    <t xml:space="preserve"> (0.000412957,0)</t>
  </si>
  <si>
    <t xml:space="preserve"> (-0.00274711,0)</t>
  </si>
  <si>
    <t xml:space="preserve">  (1.7779e-06,0)</t>
  </si>
  <si>
    <t xml:space="preserve"> (-0.00584177,0)</t>
  </si>
  <si>
    <t xml:space="preserve">   (-0.371926,0)</t>
  </si>
  <si>
    <t xml:space="preserve">  (-0.0803981,0)</t>
  </si>
  <si>
    <t>(-0.000137829,0)</t>
  </si>
  <si>
    <t xml:space="preserve"> (0.000776547,0)</t>
  </si>
  <si>
    <t xml:space="preserve"> (0.000652615,0)</t>
  </si>
  <si>
    <t>Damping rate, sigma [1/s] =                    2.70389</t>
  </si>
  <si>
    <t>99% Damping Time [s] =                         1.70317</t>
  </si>
  <si>
    <t>Eigenvalue [1/s] = (-3.11925,0)</t>
  </si>
  <si>
    <t>Eigenvector =   (0.00576717,0)</t>
  </si>
  <si>
    <t xml:space="preserve">    (-0.90795,0)</t>
  </si>
  <si>
    <t xml:space="preserve">   (-0.293249,0)</t>
  </si>
  <si>
    <t xml:space="preserve">    (-0.18465,0)</t>
  </si>
  <si>
    <t xml:space="preserve">  (0.00309322,0)</t>
  </si>
  <si>
    <t xml:space="preserve"> (-0.00193146,0)</t>
  </si>
  <si>
    <t xml:space="preserve">  (0.00594641,0)</t>
  </si>
  <si>
    <t xml:space="preserve">   (-0.129442,0)</t>
  </si>
  <si>
    <t xml:space="preserve">    (0.187605,0)</t>
  </si>
  <si>
    <t xml:space="preserve">   (0.0591948,0)</t>
  </si>
  <si>
    <t>(-0.000351432,0)</t>
  </si>
  <si>
    <t>(-0.000163027,0)</t>
  </si>
  <si>
    <t>Damping rate, sigma [1/s] =                    3.11925</t>
  </si>
  <si>
    <t>99% Damping Time [s] =                         1.47637</t>
  </si>
  <si>
    <t>Eigenvalue [1/s] = (1.06559,0)</t>
  </si>
  <si>
    <t>Eigenvector =    (0.0266385,0)</t>
  </si>
  <si>
    <t xml:space="preserve"> (9.70493e-05,0)</t>
  </si>
  <si>
    <t xml:space="preserve">   (-0.465242,0)</t>
  </si>
  <si>
    <t>(-9.80429e-06,0)</t>
  </si>
  <si>
    <t xml:space="preserve"> (-0.00151802,0)</t>
  </si>
  <si>
    <t>(-2.32735e-06,0)</t>
  </si>
  <si>
    <t xml:space="preserve">    (0.037929,0)</t>
  </si>
  <si>
    <t xml:space="preserve">   (-0.827602,0)</t>
  </si>
  <si>
    <t xml:space="preserve">    (0.310598,0)</t>
  </si>
  <si>
    <t>(-9.07111e-05,0)</t>
  </si>
  <si>
    <t xml:space="preserve"> (-0.00108627,0)</t>
  </si>
  <si>
    <t xml:space="preserve"> (-0.00091997,0)</t>
  </si>
  <si>
    <t>Damping rate, sigma [1/s] =                    -1.06559</t>
  </si>
  <si>
    <t>Doubling time [s] =                            0.650483</t>
  </si>
  <si>
    <t>Eigenvalue [1/s] = (-0.00121763,0.0932621)</t>
  </si>
  <si>
    <t>Eigenvector =     (0.0433276,-0.00605154)</t>
  </si>
  <si>
    <t>(-0.000115653,-2.16228e-06)</t>
  </si>
  <si>
    <t xml:space="preserve">  (0.000828185,5.48425e-05)</t>
  </si>
  <si>
    <t xml:space="preserve"> (-5.96174e-08,3.46161e-07)</t>
  </si>
  <si>
    <t xml:space="preserve"> (8.78358e-06,-9.93688e-07)</t>
  </si>
  <si>
    <t xml:space="preserve"> (-4.24679e-06,8.68539e-07)</t>
  </si>
  <si>
    <t xml:space="preserve">     (-0.0355215,-0.469633)</t>
  </si>
  <si>
    <t xml:space="preserve">       (-0.171059,0.012027)</t>
  </si>
  <si>
    <t xml:space="preserve">       (0.853717,-0.134275)</t>
  </si>
  <si>
    <t xml:space="preserve"> (-5.34169e-05,9.43563e-06)</t>
  </si>
  <si>
    <t>(-2.00849e-05,-0.000125489)</t>
  </si>
  <si>
    <t xml:space="preserve"> (-2.42215e-06,-2.5266e-05)</t>
  </si>
  <si>
    <t>Damping rate, sigma [1/s] =                    0.00121763</t>
  </si>
  <si>
    <t>Damped natural frequency, omega_d [rad/s] =    0.0932621</t>
  </si>
  <si>
    <t>Damped period [s] =                            67.3712</t>
  </si>
  <si>
    <t>Undamped natural frequency, omega_n [rad/s] =  0.0650853</t>
  </si>
  <si>
    <t>99% Damping Time [s] =                         3782.09</t>
  </si>
  <si>
    <t>Eigenvalue [1/s] = (-0.00121763,-0.0932621)</t>
  </si>
  <si>
    <t>Eigenvector =      (0.0433276,0.00605154)</t>
  </si>
  <si>
    <t xml:space="preserve"> (-0.000115653,2.16228e-06)</t>
  </si>
  <si>
    <t xml:space="preserve"> (0.000828185,-5.48425e-05)</t>
  </si>
  <si>
    <t>(-5.96174e-08,-3.46161e-07)</t>
  </si>
  <si>
    <t xml:space="preserve">  (8.78358e-06,9.93688e-07)</t>
  </si>
  <si>
    <t>(-4.24679e-06,-8.68539e-07)</t>
  </si>
  <si>
    <t xml:space="preserve">      (-0.0355215,0.469633)</t>
  </si>
  <si>
    <t xml:space="preserve">      (-0.171059,-0.012027)</t>
  </si>
  <si>
    <t xml:space="preserve">        (0.853717,0.134275)</t>
  </si>
  <si>
    <t>(-5.34169e-05,-9.43563e-06)</t>
  </si>
  <si>
    <t xml:space="preserve"> (-2.00849e-05,0.000125489)</t>
  </si>
  <si>
    <t xml:space="preserve">  (-2.42215e-06,2.5266e-05)</t>
  </si>
  <si>
    <t>Undamped natural frequency, omega_n [rad/s] =  0.0668073</t>
  </si>
  <si>
    <t>Eigenvalue [1/s] = (0.00259837,0)</t>
  </si>
  <si>
    <t>Eigenvector =  (2.18703e-05,0)</t>
  </si>
  <si>
    <t xml:space="preserve"> (5.34821e-08,0)</t>
  </si>
  <si>
    <t xml:space="preserve"> (1.24708e-06,0)</t>
  </si>
  <si>
    <t xml:space="preserve">  (6.1307e-11,0)</t>
  </si>
  <si>
    <t xml:space="preserve"> (1.14182e-08,0)</t>
  </si>
  <si>
    <t xml:space="preserve"> (4.32332e-09,0)</t>
  </si>
  <si>
    <t xml:space="preserve">  (0.00845844,0)</t>
  </si>
  <si>
    <t xml:space="preserve">    (0.999964,0)</t>
  </si>
  <si>
    <t xml:space="preserve"> (0.000824226,0)</t>
  </si>
  <si>
    <t xml:space="preserve"> (1.40671e-07,0)</t>
  </si>
  <si>
    <t>(-3.25352e-09,0)</t>
  </si>
  <si>
    <t xml:space="preserve"> (4.10057e-06,0)</t>
  </si>
  <si>
    <t>Damping rate, sigma [1/s] =                    -0.00259837</t>
  </si>
  <si>
    <t>Doubling time [s] =                            266.762</t>
  </si>
  <si>
    <t>Eigenvalue [1/s] = (1.31914e-05,0)</t>
  </si>
  <si>
    <t>Eigenvector = (-5.64716e-10,0)</t>
  </si>
  <si>
    <t>(-2.04428e-12,0)</t>
  </si>
  <si>
    <t xml:space="preserve"> (-3.2164e-11,0)</t>
  </si>
  <si>
    <t xml:space="preserve"> (9.69988e-15,0)</t>
  </si>
  <si>
    <t>(-2.94647e-13,0)</t>
  </si>
  <si>
    <t>(-1.11221e-13,0)</t>
  </si>
  <si>
    <t xml:space="preserve">  (-4.293e-05,0)</t>
  </si>
  <si>
    <t>(-2.00401e-06,0)</t>
  </si>
  <si>
    <t>(-3.62942e-12,0)</t>
  </si>
  <si>
    <t xml:space="preserve"> (3.78659e-14,0)</t>
  </si>
  <si>
    <t>(-2.08246e-08,0)</t>
  </si>
  <si>
    <t>Damping rate, sigma [1/s] =                    -1.31914e-05</t>
  </si>
  <si>
    <t>Doubling time [s] =                            52545.3</t>
  </si>
  <si>
    <t>Eigenvalue [1/s] = (-1.31247e-05,0)</t>
  </si>
  <si>
    <t>Eigenvector = (-5.59021e-10,0)</t>
  </si>
  <si>
    <t>(-2.02985e-12,0)</t>
  </si>
  <si>
    <t>(-3.18395e-11,0)</t>
  </si>
  <si>
    <t xml:space="preserve"> (9.70942e-15,0)</t>
  </si>
  <si>
    <t>(-2.91675e-13,0)</t>
  </si>
  <si>
    <t>(-1.10099e-13,0)</t>
  </si>
  <si>
    <t xml:space="preserve"> (4.27124e-05,0)</t>
  </si>
  <si>
    <t xml:space="preserve"> (1.97173e-06,0)</t>
  </si>
  <si>
    <t>(-3.59282e-12,0)</t>
  </si>
  <si>
    <t xml:space="preserve"> (3.70194e-14,0)</t>
  </si>
  <si>
    <t xml:space="preserve"> (2.07193e-08,0)</t>
  </si>
  <si>
    <t>Damping rate, sigma [1/s] =                    1.31247e-05</t>
  </si>
  <si>
    <t>99% Damping Time [s] =                         350879</t>
  </si>
  <si>
    <t>Eigenvalue [1/s] = (-6.19758e-14,0)</t>
  </si>
  <si>
    <t>Eigenvector = (-6.06731e-14,0)</t>
  </si>
  <si>
    <t xml:space="preserve"> (8.68246e-14,0)</t>
  </si>
  <si>
    <t xml:space="preserve"> (2.62393e-14,0)</t>
  </si>
  <si>
    <t>(-9.38059e-16,0)</t>
  </si>
  <si>
    <t xml:space="preserve"> (1.85246e-17,0)</t>
  </si>
  <si>
    <t xml:space="preserve"> (8.57931e-17,0)</t>
  </si>
  <si>
    <t xml:space="preserve">    (0.980206,0)</t>
  </si>
  <si>
    <t xml:space="preserve">  (-0.0633866,0)</t>
  </si>
  <si>
    <t xml:space="preserve">   (-0.187557,0)</t>
  </si>
  <si>
    <t xml:space="preserve"> (2.37939e-16,0)</t>
  </si>
  <si>
    <t xml:space="preserve">  (7.1728e-17,0)</t>
  </si>
  <si>
    <t>(-9.21921e-17,0)</t>
  </si>
  <si>
    <t>Damping rate, sigma [1/s] =                    6.19758e-14</t>
  </si>
  <si>
    <t>99% Damping Time [s] =                         7.43059e+13</t>
  </si>
  <si>
    <t>Eigenvalue [1/s] = (-4.16331e-13,0)</t>
  </si>
  <si>
    <t>Eigenvector =   (4.1256e-13,0)</t>
  </si>
  <si>
    <t>(-1.01141e-13,0)</t>
  </si>
  <si>
    <t>(-7.69727e-14,0)</t>
  </si>
  <si>
    <t xml:space="preserve"> (7.59678e-16,0)</t>
  </si>
  <si>
    <t>(-1.74316e-17,0)</t>
  </si>
  <si>
    <t>(-8.86777e-17,0)</t>
  </si>
  <si>
    <t xml:space="preserve">   (-0.991251,0)</t>
  </si>
  <si>
    <t xml:space="preserve">    (0.109475,0)</t>
  </si>
  <si>
    <t xml:space="preserve">   (0.0737401,0)</t>
  </si>
  <si>
    <t>(-3.67295e-17,0)</t>
  </si>
  <si>
    <t>(-1.40695e-16,0)</t>
  </si>
  <si>
    <t xml:space="preserve"> (4.54868e-17,0)</t>
  </si>
  <si>
    <t>Damping rate, sigma [1/s] =                    4.16331e-13</t>
  </si>
  <si>
    <t>99% Damping Time [s] =                         1.10613e+13</t>
  </si>
  <si>
    <t>Eigenvalue [1/s] = (-0.140286,3.33951)</t>
  </si>
  <si>
    <t>Eigenvector =   (0.000535935,0.000418868)</t>
  </si>
  <si>
    <t xml:space="preserve">        (0.151249,0.947557)</t>
  </si>
  <si>
    <t xml:space="preserve">    (-0.0016752,0.00135026)</t>
  </si>
  <si>
    <t xml:space="preserve">  (-0.00731349,-0.00553601)</t>
  </si>
  <si>
    <t xml:space="preserve"> (-8.05873e-05,8.94604e-05)</t>
  </si>
  <si>
    <t xml:space="preserve">  (0.00493058,-0.000941471)</t>
  </si>
  <si>
    <t xml:space="preserve">  (0.000606863,0.000206635)</t>
  </si>
  <si>
    <t xml:space="preserve">      (-0.273974,0.0623426)</t>
  </si>
  <si>
    <t xml:space="preserve">     (0.0108932,0.00830516)</t>
  </si>
  <si>
    <t xml:space="preserve">    (-0.00153731,0.0022158)</t>
  </si>
  <si>
    <t xml:space="preserve">   (0.000251445,0.00123977)</t>
  </si>
  <si>
    <t>(-0.000146336,-0.000712191)</t>
  </si>
  <si>
    <t>Damping rate, sigma [1/s] =                    0.140286</t>
  </si>
  <si>
    <t>Damped natural frequency, omega_d [rad/s] =    3.33951</t>
  </si>
  <si>
    <t>Damped period [s] =                            1.88147</t>
  </si>
  <si>
    <t>Undamped natural frequency, omega_n [rad/s] =  2.26219</t>
  </si>
  <si>
    <t>99% Damping Time [s] =                         32.827</t>
  </si>
  <si>
    <t>Eigenvalue [1/s] = (-0.140286,-3.33951)</t>
  </si>
  <si>
    <t>Eigenvector =  (0.000535935,-0.000418868)</t>
  </si>
  <si>
    <t xml:space="preserve">       (0.151249,-0.947557)</t>
  </si>
  <si>
    <t xml:space="preserve">   (-0.0016752,-0.00135026)</t>
  </si>
  <si>
    <t xml:space="preserve">   (-0.00731349,0.00553601)</t>
  </si>
  <si>
    <t>(-8.05873e-05,-8.94604e-05)</t>
  </si>
  <si>
    <t xml:space="preserve">   (0.00493058,0.000941471)</t>
  </si>
  <si>
    <t xml:space="preserve"> (0.000606863,-0.000206635)</t>
  </si>
  <si>
    <t xml:space="preserve">     (-0.273974,-0.0623426)</t>
  </si>
  <si>
    <t xml:space="preserve">    (0.0108932,-0.00830516)</t>
  </si>
  <si>
    <t xml:space="preserve">   (-0.00153731,-0.0022158)</t>
  </si>
  <si>
    <t xml:space="preserve">  (0.000251445,-0.00123977)</t>
  </si>
  <si>
    <t xml:space="preserve"> (-0.000146336,0.000712191)</t>
  </si>
  <si>
    <t>Undamped natural frequency, omega_n [rad/s] =  2.46059</t>
  </si>
  <si>
    <t>Eigenvalue [1/s] = (-2.69189,0)</t>
  </si>
  <si>
    <t>Eigenvector =   (-0.0163947,0)</t>
  </si>
  <si>
    <t xml:space="preserve"> (-0.00441749,0)</t>
  </si>
  <si>
    <t xml:space="preserve">   (-0.876073,0)</t>
  </si>
  <si>
    <t>(-0.000441846,0)</t>
  </si>
  <si>
    <t xml:space="preserve">  (0.00262151,0)</t>
  </si>
  <si>
    <t>(-6.23012e-06,0)</t>
  </si>
  <si>
    <t xml:space="preserve">  (0.00832689,0)</t>
  </si>
  <si>
    <t xml:space="preserve">    (0.479224,0)</t>
  </si>
  <si>
    <t xml:space="preserve">   (0.0497592,0)</t>
  </si>
  <si>
    <t xml:space="preserve"> (0.000142196,0)</t>
  </si>
  <si>
    <t xml:space="preserve">  (-0.0004843,0)</t>
  </si>
  <si>
    <t>(-0.000842364,0)</t>
  </si>
  <si>
    <t>Damping rate, sigma [1/s] =                    2.69189</t>
  </si>
  <si>
    <t>99% Damping Time [s] =                         1.71076</t>
  </si>
  <si>
    <t>Eigenvalue [1/s] = (-3.14759,0)</t>
  </si>
  <si>
    <t>Eigenvector =   (0.00775149,0)</t>
  </si>
  <si>
    <t xml:space="preserve">   (-0.921609,0)</t>
  </si>
  <si>
    <t xml:space="preserve">   (-0.252342,0)</t>
  </si>
  <si>
    <t xml:space="preserve">    (-0.13399,0)</t>
  </si>
  <si>
    <t xml:space="preserve">  (0.00290367,0)</t>
  </si>
  <si>
    <t xml:space="preserve"> (-0.00327226,0)</t>
  </si>
  <si>
    <t xml:space="preserve">  (0.00910232,0)</t>
  </si>
  <si>
    <t xml:space="preserve">  (-0.0207944,0)</t>
  </si>
  <si>
    <t xml:space="preserve">     (0.25807,0)</t>
  </si>
  <si>
    <t xml:space="preserve">   (0.0425615,0)</t>
  </si>
  <si>
    <t>(-0.000175932,0)</t>
  </si>
  <si>
    <t>(-0.000279172,0)</t>
  </si>
  <si>
    <t>Damping rate, sigma [1/s] =                    3.14759</t>
  </si>
  <si>
    <t>99% Damping Time [s] =                         1.46308</t>
  </si>
  <si>
    <t>Eigenvalue [1/s] = (1.08054,0)</t>
  </si>
  <si>
    <t>Eigenvector =     (0.026875,0)</t>
  </si>
  <si>
    <t xml:space="preserve"> (0.000182288,0)</t>
  </si>
  <si>
    <t xml:space="preserve">   (-0.389843,0)</t>
  </si>
  <si>
    <t>(-1.18028e-05,0)</t>
  </si>
  <si>
    <t xml:space="preserve"> (-0.00126025,0)</t>
  </si>
  <si>
    <t>(-1.29743e-06,0)</t>
  </si>
  <si>
    <t xml:space="preserve">   (0.0318507,0)</t>
  </si>
  <si>
    <t xml:space="preserve">    (-0.90676,0)</t>
  </si>
  <si>
    <t xml:space="preserve">     (0.15514,0)</t>
  </si>
  <si>
    <t>(-0.000102878,0)</t>
  </si>
  <si>
    <t>(-0.000573771,0)</t>
  </si>
  <si>
    <t xml:space="preserve"> (-0.00101376,0)</t>
  </si>
  <si>
    <t>Damping rate, sigma [1/s] =                    -1.08054</t>
  </si>
  <si>
    <t>Doubling time [s] =                            0.641484</t>
  </si>
  <si>
    <t>Eigenvalue [1/s] = (0.00235715,0.116637)</t>
  </si>
  <si>
    <t>Eigenvector =       (0.0182403,0.0420894)</t>
  </si>
  <si>
    <t>(-3.72788e-05,-0.000163001)</t>
  </si>
  <si>
    <t xml:space="preserve"> (-7.53876e-05,0.000230975)</t>
  </si>
  <si>
    <t>(-8.06112e-07,-3.34527e-07)</t>
  </si>
  <si>
    <t xml:space="preserve">  (2.64951e-06,6.57891e-06)</t>
  </si>
  <si>
    <t>(-2.85987e-06,-5.50559e-06)</t>
  </si>
  <si>
    <t xml:space="preserve">       (0.379095,-0.111359)</t>
  </si>
  <si>
    <t xml:space="preserve">      (-0.0607406,-0.12708)</t>
  </si>
  <si>
    <t xml:space="preserve">        (0.331494,0.843834)</t>
  </si>
  <si>
    <t>(-5.01454e-05,-0.000109506)</t>
  </si>
  <si>
    <t xml:space="preserve"> (0.000152762,-6.72026e-05)</t>
  </si>
  <si>
    <t xml:space="preserve">   (2.325e-05,-1.21031e-05)</t>
  </si>
  <si>
    <t>Damping rate, sigma [1/s] =                    -0.00235715</t>
  </si>
  <si>
    <t>Damped natural frequency, omega_d [rad/s] =    0.116637</t>
  </si>
  <si>
    <t>Damped period [s] =                            53.8697</t>
  </si>
  <si>
    <t>Undamped natural frequency, omega_n [rad/s] =  0.0841414</t>
  </si>
  <si>
    <t>Doubling time [s] =                            294.062</t>
  </si>
  <si>
    <t>Eigenvalue [1/s] = (0.00235715,-0.116637)</t>
  </si>
  <si>
    <t>Eigenvector =      (0.0182403,-0.0420894)</t>
  </si>
  <si>
    <t xml:space="preserve"> (-3.72788e-05,0.000163001)</t>
  </si>
  <si>
    <t>(-7.53876e-05,-0.000230975)</t>
  </si>
  <si>
    <t xml:space="preserve"> (-8.06112e-07,3.34527e-07)</t>
  </si>
  <si>
    <t xml:space="preserve"> (2.64951e-06,-6.57891e-06)</t>
  </si>
  <si>
    <t xml:space="preserve"> (-2.85987e-06,5.50559e-06)</t>
  </si>
  <si>
    <t xml:space="preserve">        (0.379095,0.111359)</t>
  </si>
  <si>
    <t xml:space="preserve">       (-0.0607406,0.12708)</t>
  </si>
  <si>
    <t xml:space="preserve">       (0.331494,-0.843834)</t>
  </si>
  <si>
    <t xml:space="preserve"> (-5.01454e-05,0.000109506)</t>
  </si>
  <si>
    <t xml:space="preserve">  (0.000152762,6.72026e-05)</t>
  </si>
  <si>
    <t xml:space="preserve">    (2.325e-05,1.21031e-05)</t>
  </si>
  <si>
    <t>Undamped natural frequency, omega_n [rad/s] =  0.0808079</t>
  </si>
  <si>
    <t>Eigenvalue [1/s] = (0.002774,0)</t>
  </si>
  <si>
    <t>Eigenvector =  (3.17296e-05,0)</t>
  </si>
  <si>
    <t>(-4.17398e-08,0)</t>
  </si>
  <si>
    <t xml:space="preserve"> (1.22335e-06,0)</t>
  </si>
  <si>
    <t>(-1.67274e-10,0)</t>
  </si>
  <si>
    <t xml:space="preserve"> (1.40877e-08,0)</t>
  </si>
  <si>
    <t xml:space="preserve"> (-1.2341e-10,0)</t>
  </si>
  <si>
    <t xml:space="preserve">   (0.0114535,0)</t>
  </si>
  <si>
    <t xml:space="preserve">    (0.999934,0)</t>
  </si>
  <si>
    <t xml:space="preserve"> (8.60285e-05,0)</t>
  </si>
  <si>
    <t xml:space="preserve"> (8.16057e-08,0)</t>
  </si>
  <si>
    <t>(-1.71226e-09,0)</t>
  </si>
  <si>
    <t xml:space="preserve">  (4.3778e-06,0)</t>
  </si>
  <si>
    <t>Damping rate, sigma [1/s] =                    -0.002774</t>
  </si>
  <si>
    <t>Doubling time [s] =                            249.873</t>
  </si>
  <si>
    <t>Eigenvalue [1/s] = (-4.30565e-09,4.98476e-06)</t>
  </si>
  <si>
    <t>Eigenvector =  (1.16747e-12,-9.54046e-11)</t>
  </si>
  <si>
    <t xml:space="preserve"> (5.82735e-16,-7.72086e-14)</t>
  </si>
  <si>
    <t xml:space="preserve"> (6.15401e-14,-5.27031e-12)</t>
  </si>
  <si>
    <t xml:space="preserve"> (-2.04384e-17,1.86635e-15)</t>
  </si>
  <si>
    <t xml:space="preserve"> (5.49669e-16,-4.53757e-14)</t>
  </si>
  <si>
    <t xml:space="preserve"> (-2.57175e-18,1.82195e-16)</t>
  </si>
  <si>
    <t>(-1.91332e-05,-2.17662e-07)</t>
  </si>
  <si>
    <t xml:space="preserve">      (-0.0103812,0.999946)</t>
  </si>
  <si>
    <t xml:space="preserve">  (5.64625e-07,5.16777e-09)</t>
  </si>
  <si>
    <t xml:space="preserve"> (3.14947e-15,-2.59546e-13)</t>
  </si>
  <si>
    <t xml:space="preserve"> (1.15021e-17,-1.98008e-15)</t>
  </si>
  <si>
    <t xml:space="preserve"> (-7.8698e-09,-8.84937e-11)</t>
  </si>
  <si>
    <t>Damping rate, sigma [1/s] =                    4.30565e-09</t>
  </si>
  <si>
    <t>Damped natural frequency, omega_d [rad/s] =    4.98476e-06</t>
  </si>
  <si>
    <t>Damped period [s] =                            1.26048e+06</t>
  </si>
  <si>
    <t>Undamped natural frequency, omega_n [rad/s] =  3.52171e-06</t>
  </si>
  <si>
    <t>99% Damping Time [s] =                         1.06957e+09</t>
  </si>
  <si>
    <t>Eigenvalue [1/s] = (-4.30565e-09,-4.98476e-06)</t>
  </si>
  <si>
    <t>Eigenvector =   (1.16747e-12,9.54046e-11)</t>
  </si>
  <si>
    <t xml:space="preserve">  (5.82735e-16,7.72086e-14)</t>
  </si>
  <si>
    <t xml:space="preserve">  (6.15401e-14,5.27031e-12)</t>
  </si>
  <si>
    <t>(-2.04384e-17,-1.86635e-15)</t>
  </si>
  <si>
    <t xml:space="preserve">  (5.49669e-16,4.53757e-14)</t>
  </si>
  <si>
    <t>(-2.57175e-18,-1.82195e-16)</t>
  </si>
  <si>
    <t xml:space="preserve"> (-1.91332e-05,2.17662e-07)</t>
  </si>
  <si>
    <t xml:space="preserve">     (-0.0103812,-0.999946)</t>
  </si>
  <si>
    <t xml:space="preserve"> (5.64625e-07,-5.16777e-09)</t>
  </si>
  <si>
    <t xml:space="preserve">  (3.14947e-15,2.59546e-13)</t>
  </si>
  <si>
    <t xml:space="preserve">  (1.15021e-17,1.98008e-15)</t>
  </si>
  <si>
    <t xml:space="preserve">  (-7.8698e-09,8.84937e-11)</t>
  </si>
  <si>
    <t>Undamped natural frequency, omega_n [rad/s] =  3.5278e-06</t>
  </si>
  <si>
    <t>Eigenvalue [1/s] = (-3.89257e-14,0)</t>
  </si>
  <si>
    <t>Eigenvector = (-3.79933e-14,0)</t>
  </si>
  <si>
    <t>(-4.89063e-14,0)</t>
  </si>
  <si>
    <t>(-1.44285e-14,0)</t>
  </si>
  <si>
    <t xml:space="preserve"> (-2.1279e-16,0)</t>
  </si>
  <si>
    <t>(-1.52227e-18,0)</t>
  </si>
  <si>
    <t xml:space="preserve"> (7.62441e-17,0)</t>
  </si>
  <si>
    <t xml:space="preserve">     (0.97768,0)</t>
  </si>
  <si>
    <t xml:space="preserve">   (-0.115268,0)</t>
  </si>
  <si>
    <t xml:space="preserve">   (-0.175655,0)</t>
  </si>
  <si>
    <t>(-6.44021e-17,0)</t>
  </si>
  <si>
    <t>(-6.32067e-17,0)</t>
  </si>
  <si>
    <t xml:space="preserve">  (2.5589e-17,0)</t>
  </si>
  <si>
    <t>Damping rate, sigma [1/s] =                    3.89257e-14</t>
  </si>
  <si>
    <t>99% Damping Time [s] =                         1.18307e+14</t>
  </si>
  <si>
    <t>Eigenvalue [1/s] = (2.14495e-12,0)</t>
  </si>
  <si>
    <t>Eigenvector = (-2.07615e-12,0)</t>
  </si>
  <si>
    <t xml:space="preserve"> (8.43928e-14,0)</t>
  </si>
  <si>
    <t xml:space="preserve"> (4.13361e-13,0)</t>
  </si>
  <si>
    <t xml:space="preserve">   (2.551e-16,0)</t>
  </si>
  <si>
    <t>(-4.79565e-17,0)</t>
  </si>
  <si>
    <t>(-5.55804e-18,0)</t>
  </si>
  <si>
    <t xml:space="preserve">   (-0.956082,0)</t>
  </si>
  <si>
    <t xml:space="preserve">  (-0.0808134,0)</t>
  </si>
  <si>
    <t xml:space="preserve">    (0.281739,0)</t>
  </si>
  <si>
    <t>(-1.32363e-15,0)</t>
  </si>
  <si>
    <t>(-3.83423e-16,0)</t>
  </si>
  <si>
    <t>(-8.25171e-16,0)</t>
  </si>
  <si>
    <t>Damping rate, sigma [1/s] =                    -2.14495e-12</t>
  </si>
  <si>
    <t>Doubling time [s] =                            3.23153e+11</t>
  </si>
  <si>
    <t>Eigenvalue [1/s] = (0.0309659,3.58417)</t>
  </si>
  <si>
    <t>Eigenvector =     (0.000401858,0.001119)</t>
  </si>
  <si>
    <t xml:space="preserve">      (-0.908019,0.407932)</t>
  </si>
  <si>
    <t xml:space="preserve">  (-0.00105092,0.00278108)</t>
  </si>
  <si>
    <t xml:space="preserve">    (0.0041224,-0.0088719)</t>
  </si>
  <si>
    <t>(-0.000121891,-6.6911e-05)</t>
  </si>
  <si>
    <t xml:space="preserve">   (0.00281662,0.00487873)</t>
  </si>
  <si>
    <t xml:space="preserve">  (0.000813054,0.00119144)</t>
  </si>
  <si>
    <t xml:space="preserve">    (-0.0352714,-0.083118)</t>
  </si>
  <si>
    <t xml:space="preserve">     (0.0100805,0.0262543)</t>
  </si>
  <si>
    <t xml:space="preserve"> (-0.00240897,-0.00107471)</t>
  </si>
  <si>
    <t xml:space="preserve"> (-0.00126266,0.000575983)</t>
  </si>
  <si>
    <t xml:space="preserve"> (0.00022137,-9.61664e-05)</t>
  </si>
  <si>
    <t>Damping rate, sigma [1/s] =                    -0.0309659</t>
  </si>
  <si>
    <t>Damped natural frequency, omega_d [rad/s] =    3.58417</t>
  </si>
  <si>
    <t>Damped period [s] =                            1.75304</t>
  </si>
  <si>
    <t>Undamped natural frequency, omega_n [rad/s] =  2.55629</t>
  </si>
  <si>
    <t>Doubling time [s] =                            22.3842</t>
  </si>
  <si>
    <t>Eigenvalue [1/s] = (0.0309659,-3.58417)</t>
  </si>
  <si>
    <t>Eigenvector =    (0.000401858,-0.001119)</t>
  </si>
  <si>
    <t xml:space="preserve">     (-0.908019,-0.407932)</t>
  </si>
  <si>
    <t xml:space="preserve"> (-0.00105092,-0.00278108)</t>
  </si>
  <si>
    <t xml:space="preserve">     (0.0041224,0.0088719)</t>
  </si>
  <si>
    <t xml:space="preserve"> (-0.000121891,6.6911e-05)</t>
  </si>
  <si>
    <t xml:space="preserve">  (0.00281662,-0.00487873)</t>
  </si>
  <si>
    <t xml:space="preserve"> (0.000813054,-0.00119144)</t>
  </si>
  <si>
    <t xml:space="preserve">     (-0.0352714,0.083118)</t>
  </si>
  <si>
    <t xml:space="preserve">    (0.0100805,-0.0262543)</t>
  </si>
  <si>
    <t xml:space="preserve">  (-0.00240897,0.00107471)</t>
  </si>
  <si>
    <t>(-0.00126266,-0.000575983)</t>
  </si>
  <si>
    <t xml:space="preserve">  (0.00022137,9.61664e-05)</t>
  </si>
  <si>
    <t>Undamped natural frequency, omega_n [rad/s] =  2.5125</t>
  </si>
  <si>
    <t>Eigenvalue [1/s] = (-2.59403,0)</t>
  </si>
  <si>
    <t>Eigenvector =   (-0.0752449,0)</t>
  </si>
  <si>
    <t xml:space="preserve"> (-0.00687648,0)</t>
  </si>
  <si>
    <t xml:space="preserve">   (-0.835466,0)</t>
  </si>
  <si>
    <t>(-0.000168105,0)</t>
  </si>
  <si>
    <t xml:space="preserve">  (0.00244296,0)</t>
  </si>
  <si>
    <t xml:space="preserve"> (4.35808e-07,0)</t>
  </si>
  <si>
    <t xml:space="preserve">   (0.0299413,0)</t>
  </si>
  <si>
    <t xml:space="preserve">     (0.54319,0)</t>
  </si>
  <si>
    <t xml:space="preserve">   (0.0181371,0)</t>
  </si>
  <si>
    <t xml:space="preserve"> (3.65186e-05,0)</t>
  </si>
  <si>
    <t>(-0.000159329,0)</t>
  </si>
  <si>
    <t>(-0.000927748,0)</t>
  </si>
  <si>
    <t>Damping rate, sigma [1/s] =                    2.59403</t>
  </si>
  <si>
    <t>99% Damping Time [s] =                         1.7753</t>
  </si>
  <si>
    <t>Eigenvalue [1/s] = (-3.10075,0)</t>
  </si>
  <si>
    <t>Eigenvector =    (0.0120695,0)</t>
  </si>
  <si>
    <t xml:space="preserve">   (-0.936238,0)</t>
  </si>
  <si>
    <t xml:space="preserve">  (-0.0775444,0)</t>
  </si>
  <si>
    <t xml:space="preserve">   (-0.052293,0)</t>
  </si>
  <si>
    <t xml:space="preserve">  (0.00119717,0)</t>
  </si>
  <si>
    <t xml:space="preserve"> (-0.00413847,0)</t>
  </si>
  <si>
    <t xml:space="preserve">   (0.0128405,0)</t>
  </si>
  <si>
    <t xml:space="preserve">  (0.00271898,0)</t>
  </si>
  <si>
    <t xml:space="preserve">    (0.337772,0)</t>
  </si>
  <si>
    <t xml:space="preserve">   (0.0168408,0)</t>
  </si>
  <si>
    <t xml:space="preserve"> (0.000177527,0)</t>
  </si>
  <si>
    <t>(-0.000149459,0)</t>
  </si>
  <si>
    <t>Damping rate, sigma [1/s] =                    3.10075</t>
  </si>
  <si>
    <t>99% Damping Time [s] =                         1.48518</t>
  </si>
  <si>
    <t>Eigenvalue [1/s] = (1.08615,0)</t>
  </si>
  <si>
    <t>Eigenvector =    (0.0953073,0)</t>
  </si>
  <si>
    <t xml:space="preserve"> (0.000304351,0)</t>
  </si>
  <si>
    <t xml:space="preserve">   (-0.372227,0)</t>
  </si>
  <si>
    <t>(-1.81193e-05,0)</t>
  </si>
  <si>
    <t xml:space="preserve"> (-0.00109582,0)</t>
  </si>
  <si>
    <t>(-3.47482e-07,0)</t>
  </si>
  <si>
    <t xml:space="preserve">   (0.0889601,0)</t>
  </si>
  <si>
    <t xml:space="preserve">   (-0.918668,0)</t>
  </si>
  <si>
    <t xml:space="preserve">   (0.0222876,0)</t>
  </si>
  <si>
    <t>(-0.000104905,0)</t>
  </si>
  <si>
    <t>(-0.000147156,0)</t>
  </si>
  <si>
    <t>(-0.000996781,0)</t>
  </si>
  <si>
    <t>Damping rate, sigma [1/s] =                    -1.08615</t>
  </si>
  <si>
    <t>Doubling time [s] =                            0.63817</t>
  </si>
  <si>
    <t>Eigenvalue [1/s] = (0.0072363,0.293533)</t>
  </si>
  <si>
    <t>Eigenvector =       (0.0326715,0.0371994)</t>
  </si>
  <si>
    <t>(-0.000116611,-0.000228978)</t>
  </si>
  <si>
    <t xml:space="preserve"> (-0.000938644,-0.00192992)</t>
  </si>
  <si>
    <t>(-4.12668e-06,-1.64915e-06)</t>
  </si>
  <si>
    <t xml:space="preserve"> (6.11667e-06,-1.36147e-06)</t>
  </si>
  <si>
    <t xml:space="preserve">  (-5.629e-06,-5.38747e-06)</t>
  </si>
  <si>
    <t xml:space="preserve">      (0.153892,-0.0662226)</t>
  </si>
  <si>
    <t xml:space="preserve">      (-0.0857145,0.041025)</t>
  </si>
  <si>
    <t xml:space="preserve">        (0.491153,0.848065)</t>
  </si>
  <si>
    <t xml:space="preserve"> (-0.000233296,-0.00036948)</t>
  </si>
  <si>
    <t xml:space="preserve">  (0.00038452,-0.000241159)</t>
  </si>
  <si>
    <t xml:space="preserve"> (-1.8569e-05,-3.63258e-05)</t>
  </si>
  <si>
    <t>Damping rate, sigma [1/s] =                    -0.0072363</t>
  </si>
  <si>
    <t>Damped natural frequency, omega_d [rad/s] =    0.293533</t>
  </si>
  <si>
    <t>Damped period [s] =                            21.4054</t>
  </si>
  <si>
    <t>Undamped natural frequency, omega_n [rad/s] =  0.212676</t>
  </si>
  <si>
    <t>Doubling time [s] =                            95.7875</t>
  </si>
  <si>
    <t>Eigenvalue [1/s] = (0.0072363,-0.293533)</t>
  </si>
  <si>
    <t>Eigenvector =     (0.0326715,-0.0371994)</t>
  </si>
  <si>
    <t>(-0.000116611,0.000228978)</t>
  </si>
  <si>
    <t xml:space="preserve"> (-0.000938644,0.00192992)</t>
  </si>
  <si>
    <t>(-4.12668e-06,1.64915e-06)</t>
  </si>
  <si>
    <t xml:space="preserve"> (6.11667e-06,1.36147e-06)</t>
  </si>
  <si>
    <t xml:space="preserve">  (-5.629e-06,5.38747e-06)</t>
  </si>
  <si>
    <t xml:space="preserve">      (0.153892,0.0662226)</t>
  </si>
  <si>
    <t xml:space="preserve">    (-0.0857145,-0.041025)</t>
  </si>
  <si>
    <t xml:space="preserve">      (0.491153,-0.848065)</t>
  </si>
  <si>
    <t xml:space="preserve"> (-0.000233296,0.00036948)</t>
  </si>
  <si>
    <t xml:space="preserve">  (0.00038452,0.000241159)</t>
  </si>
  <si>
    <t xml:space="preserve"> (-1.8569e-05,3.63258e-05)</t>
  </si>
  <si>
    <t>Undamped natural frequency, omega_n [rad/s] =  0.202443</t>
  </si>
  <si>
    <t>Eigenvalue [1/s] = (0.0305157,0)</t>
  </si>
  <si>
    <t>Eigenvector =  (-0.00239028,0)</t>
  </si>
  <si>
    <t xml:space="preserve"> (8.09881e-06,0)</t>
  </si>
  <si>
    <t>(-6.80052e-05,0)</t>
  </si>
  <si>
    <t xml:space="preserve"> (1.26109e-07,0)</t>
  </si>
  <si>
    <t>(-1.50923e-06,0)</t>
  </si>
  <si>
    <t xml:space="preserve"> (1.74256e-07,0)</t>
  </si>
  <si>
    <t xml:space="preserve">  (-0.0778861,0)</t>
  </si>
  <si>
    <t xml:space="preserve">     (-0.9969,0)</t>
  </si>
  <si>
    <t xml:space="preserve">   (0.0108869,0)</t>
  </si>
  <si>
    <t>(-1.47434e-06,0)</t>
  </si>
  <si>
    <t>(-3.43875e-07,0)</t>
  </si>
  <si>
    <t>(-4.79337e-05,0)</t>
  </si>
  <si>
    <t>Damping rate, sigma [1/s] =                    -0.0305157</t>
  </si>
  <si>
    <t>Doubling time [s] =                            22.7145</t>
  </si>
  <si>
    <t>Eigenvalue [1/s] = (2.04418e-06,0)</t>
  </si>
  <si>
    <t>Eigenvector = (-9.94457e-12,0)</t>
  </si>
  <si>
    <t>(-1.31755e-13,0)</t>
  </si>
  <si>
    <t>(-5.65827e-13,0)</t>
  </si>
  <si>
    <t xml:space="preserve"> (3.09254e-15,0)</t>
  </si>
  <si>
    <t>(-6.66378e-15,0)</t>
  </si>
  <si>
    <t xml:space="preserve"> (8.15956e-16,0)</t>
  </si>
  <si>
    <t>(-4.73007e-06,0)</t>
  </si>
  <si>
    <t xml:space="preserve">   (2.909e-06,0)</t>
  </si>
  <si>
    <t>(-6.97919e-15,0)</t>
  </si>
  <si>
    <t>(-8.98726e-15,0)</t>
  </si>
  <si>
    <t>(-3.22822e-09,0)</t>
  </si>
  <si>
    <t>Damping rate, sigma [1/s] =                    -2.04418e-06</t>
  </si>
  <si>
    <t>Doubling time [s] =                            339083</t>
  </si>
  <si>
    <t>Eigenvalue [1/s] = (-2.04405e-06,0)</t>
  </si>
  <si>
    <t>Eigenvector =  (9.94318e-12,0)</t>
  </si>
  <si>
    <t xml:space="preserve"> (1.30872e-13,0)</t>
  </si>
  <si>
    <t xml:space="preserve"> (5.65806e-13,0)</t>
  </si>
  <si>
    <t>(-3.06469e-15,0)</t>
  </si>
  <si>
    <t xml:space="preserve"> (6.66272e-15,0)</t>
  </si>
  <si>
    <t>(-8.15094e-16,0)</t>
  </si>
  <si>
    <t xml:space="preserve"> (-4.7297e-06,0)</t>
  </si>
  <si>
    <t xml:space="preserve"> (2.90908e-06,0)</t>
  </si>
  <si>
    <t xml:space="preserve"> (6.97289e-15,0)</t>
  </si>
  <si>
    <t xml:space="preserve"> (8.98606e-15,0)</t>
  </si>
  <si>
    <t>(-3.22801e-09,0)</t>
  </si>
  <si>
    <t>Damping rate, sigma [1/s] =                    2.04405e-06</t>
  </si>
  <si>
    <t>99% Damping Time [s] =                         2.25296e+06</t>
  </si>
  <si>
    <t>Eigenvalue [1/s] = (-2.89909e-12,0)</t>
  </si>
  <si>
    <t>Eigenvector = (-6.57381e-13,0)</t>
  </si>
  <si>
    <t>(-6.07309e-14,0)</t>
  </si>
  <si>
    <t xml:space="preserve"> (3.36229e-13,0)</t>
  </si>
  <si>
    <t xml:space="preserve"> (1.13823e-15,0)</t>
  </si>
  <si>
    <t xml:space="preserve"> (2.89231e-17,0)</t>
  </si>
  <si>
    <t xml:space="preserve">  (1.1085e-16,0)</t>
  </si>
  <si>
    <t xml:space="preserve">    (0.192336,0)</t>
  </si>
  <si>
    <t xml:space="preserve">   (-0.590781,0)</t>
  </si>
  <si>
    <t xml:space="preserve">   (-0.783572,0)</t>
  </si>
  <si>
    <t>(-2.90336e-16,0)</t>
  </si>
  <si>
    <t>(-3.54873e-15,0)</t>
  </si>
  <si>
    <t xml:space="preserve"> (2.18278e-15,0)</t>
  </si>
  <si>
    <t>Damping rate, sigma [1/s] =                    2.89909e-12</t>
  </si>
  <si>
    <t>99% Damping Time [s] =                         1.58849e+12</t>
  </si>
  <si>
    <t>Eigenvalue [1/s] = (2.96e-15,0)</t>
  </si>
  <si>
    <t>Eigenvector =  (2.39622e-15,0)</t>
  </si>
  <si>
    <t>(-3.97375e-14,0)</t>
  </si>
  <si>
    <t>(-2.87301e-15,0)</t>
  </si>
  <si>
    <t xml:space="preserve">  (5.1643e-16,0)</t>
  </si>
  <si>
    <t xml:space="preserve">  (3.4244e-18,0)</t>
  </si>
  <si>
    <t xml:space="preserve"> (2.26041e-16,0)</t>
  </si>
  <si>
    <t xml:space="preserve">     (0.95221,0)</t>
  </si>
  <si>
    <t xml:space="preserve">   (-0.270597,0)</t>
  </si>
  <si>
    <t xml:space="preserve">   (-0.141679,0)</t>
  </si>
  <si>
    <t>(-1.16611e-16,0)</t>
  </si>
  <si>
    <t>(-6.43989e-17,0)</t>
  </si>
  <si>
    <t xml:space="preserve"> (1.74846e-17,0)</t>
  </si>
  <si>
    <t>Damping rate, sigma [1/s] =                    -2.96e-15</t>
  </si>
  <si>
    <t>Doubling time [s] =                            2.34171e+14</t>
  </si>
  <si>
    <t>Mode</t>
  </si>
  <si>
    <t>u</t>
  </si>
  <si>
    <t>v</t>
  </si>
  <si>
    <t>w</t>
  </si>
  <si>
    <t>p</t>
  </si>
  <si>
    <t>q</t>
  </si>
  <si>
    <t>r</t>
  </si>
  <si>
    <t>x</t>
  </si>
  <si>
    <t>y</t>
  </si>
  <si>
    <t>z</t>
  </si>
  <si>
    <t>phi</t>
  </si>
  <si>
    <t>theta</t>
  </si>
  <si>
    <t>psi</t>
  </si>
  <si>
    <t>TRANSLATION</t>
  </si>
  <si>
    <t xml:space="preserve"> </t>
  </si>
  <si>
    <t>PHUGOID</t>
  </si>
  <si>
    <t>ROLL</t>
  </si>
  <si>
    <t>SHORT PERIOD</t>
  </si>
  <si>
    <t>SHORT PERIOD (w, z)</t>
  </si>
  <si>
    <t>ROLL (v, p, phi)</t>
  </si>
  <si>
    <t>PHUGOID (u, x, z)</t>
  </si>
  <si>
    <t>DUTCH ROLL (v, phi, psi)</t>
  </si>
  <si>
    <t>SPIRAL (v, y)</t>
  </si>
  <si>
    <t>DUTCH ROLL? SHORT PERIOD? (w, q, z, theta)</t>
  </si>
  <si>
    <t>DUTCH ROLL (v, y, psi)</t>
  </si>
  <si>
    <t>ShortPeriod</t>
  </si>
  <si>
    <t>Phugoid</t>
  </si>
  <si>
    <t>Roll</t>
  </si>
  <si>
    <t>Spiral</t>
  </si>
  <si>
    <t>DutchRoll</t>
  </si>
  <si>
    <t>Translation</t>
  </si>
  <si>
    <t>CGx</t>
  </si>
  <si>
    <t>REAL</t>
  </si>
  <si>
    <t>COMPLEX</t>
  </si>
  <si>
    <t>BOX</t>
  </si>
  <si>
    <t>w, z</t>
  </si>
  <si>
    <t>u, x/z</t>
  </si>
  <si>
    <t>v, y, phi/psi</t>
  </si>
  <si>
    <t>y = 1, psi</t>
  </si>
  <si>
    <t>v, phi, FAST</t>
  </si>
  <si>
    <t>w, y?</t>
  </si>
  <si>
    <t>SP 0.38, Ph 0.27</t>
  </si>
  <si>
    <t>BIRE, 60 bank:</t>
  </si>
  <si>
    <t>Cgx</t>
  </si>
  <si>
    <t>See BIRE, 60 bank:</t>
  </si>
  <si>
    <t>-0.00796318,0.108382</t>
  </si>
  <si>
    <t>-0.0166807,0.110324</t>
  </si>
  <si>
    <t>-0.00796318,-0.108382</t>
  </si>
  <si>
    <t>-0.081242,0.598641</t>
  </si>
  <si>
    <t>-0.081242,-0.598641</t>
  </si>
  <si>
    <t>-0.00364911,0.128394</t>
  </si>
  <si>
    <t>-0.00979079,0.130175</t>
  </si>
  <si>
    <t>-0.017751,0.127299</t>
  </si>
  <si>
    <t>-0.0212948,0.119523</t>
  </si>
  <si>
    <t>-0.0195744,0.113433</t>
  </si>
  <si>
    <t>(-0.75997</t>
  </si>
  <si>
    <t>(-0.640702</t>
  </si>
  <si>
    <t>(-0.98292</t>
  </si>
  <si>
    <t>(-0.400134</t>
  </si>
  <si>
    <t>(-1.09124</t>
  </si>
  <si>
    <t>(-0.285503</t>
  </si>
  <si>
    <t>(-1.17388</t>
  </si>
  <si>
    <t>(-0.209112</t>
  </si>
  <si>
    <t>(-1.24334</t>
  </si>
  <si>
    <t>(-0.157645</t>
  </si>
  <si>
    <t>(-1.30454</t>
  </si>
  <si>
    <t>(0.178195</t>
  </si>
  <si>
    <t>(-1.36002</t>
  </si>
  <si>
    <t>(0.207813</t>
  </si>
  <si>
    <t>(-1.41133</t>
  </si>
  <si>
    <t>(0.241088</t>
  </si>
  <si>
    <t>(-1.45955</t>
  </si>
  <si>
    <t>(0.277515</t>
  </si>
  <si>
    <t>SP-</t>
  </si>
  <si>
    <t>SP+</t>
  </si>
  <si>
    <t xml:space="preserve">w  q  y  theta </t>
  </si>
  <si>
    <t xml:space="preserve">u  q  y  psi </t>
  </si>
  <si>
    <t>u  p  z  phi/theta</t>
  </si>
  <si>
    <t xml:space="preserve">v/w  p  y  phi/psi  </t>
  </si>
  <si>
    <t xml:space="preserve">u/v/w  p  y  phi/psi </t>
  </si>
  <si>
    <t>v/w  p  y/z  phi/theta</t>
  </si>
  <si>
    <t>(-1.92632</t>
  </si>
  <si>
    <t>w  q  y  theta/psi</t>
  </si>
  <si>
    <t xml:space="preserve">w  q  y  theta/psi  </t>
  </si>
  <si>
    <t>(0.832914</t>
  </si>
  <si>
    <t>(-0.0199479</t>
  </si>
  <si>
    <t>u  q  y  psi</t>
  </si>
  <si>
    <t xml:space="preserve">w  p  z  phi  </t>
  </si>
  <si>
    <t xml:space="preserve">w  p  y/z  phi  </t>
  </si>
  <si>
    <t xml:space="preserve">w  p/q  z  phi/psi </t>
  </si>
  <si>
    <t>(0.0680881</t>
  </si>
  <si>
    <t>u  p  x/z  phi/theta</t>
  </si>
  <si>
    <t>(-0.824367</t>
  </si>
  <si>
    <t>v  q  y  phi/psi</t>
  </si>
  <si>
    <t>(0.0202835</t>
  </si>
  <si>
    <t xml:space="preserve">u  p/q  y  psi </t>
  </si>
  <si>
    <t>SHORT</t>
  </si>
  <si>
    <t>PERIOD</t>
  </si>
  <si>
    <t>SPIRAL</t>
  </si>
  <si>
    <t>DUTCH</t>
  </si>
  <si>
    <t>Cl,pbar Conversion:</t>
  </si>
  <si>
    <t>Cl,pbar</t>
  </si>
  <si>
    <t>Mx,p</t>
  </si>
  <si>
    <t xml:space="preserve">F 0 </t>
  </si>
  <si>
    <t>F 60</t>
  </si>
  <si>
    <t>B 0</t>
  </si>
  <si>
    <t>B 60</t>
  </si>
  <si>
    <t>dB</t>
  </si>
  <si>
    <t>Cm,a</t>
  </si>
  <si>
    <t>Baseline</t>
  </si>
  <si>
    <t>Cl,b</t>
  </si>
  <si>
    <t>Cn,b</t>
  </si>
  <si>
    <t>Short Period</t>
  </si>
  <si>
    <t>Dutch Roll</t>
  </si>
  <si>
    <t>MODE</t>
  </si>
  <si>
    <t>F 0</t>
  </si>
  <si>
    <t>CAP</t>
  </si>
  <si>
    <t>w_n</t>
  </si>
  <si>
    <t>CL,a</t>
  </si>
  <si>
    <t>W</t>
  </si>
  <si>
    <t>rho</t>
  </si>
  <si>
    <t>V</t>
  </si>
  <si>
    <t>Sw</t>
  </si>
  <si>
    <t>zeta</t>
  </si>
  <si>
    <t>PHUGOID (zeta)</t>
  </si>
  <si>
    <t xml:space="preserve">ROLL (sigma) </t>
  </si>
  <si>
    <t>sigma</t>
  </si>
  <si>
    <t>SPIRAL (DoubleTime)</t>
  </si>
  <si>
    <t>doubleTime</t>
  </si>
  <si>
    <t>DUTCH ROLL (zeta, w_n)</t>
  </si>
  <si>
    <t>zeta*w_n</t>
  </si>
  <si>
    <t>2 Reals</t>
  </si>
  <si>
    <t>SHORT PERIOD (w_n, zeta)</t>
  </si>
  <si>
    <t>1/sigma</t>
  </si>
  <si>
    <t>Spiral approximation:</t>
  </si>
  <si>
    <t>g</t>
  </si>
  <si>
    <t>Cn,r</t>
  </si>
  <si>
    <t>Cl,r</t>
  </si>
  <si>
    <t>Cn,p</t>
  </si>
  <si>
    <t>Cl,p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</si>
</sst>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Lucida Console"/>
      <family val="3"/>
    </font>
    <font>
      <sz val="11"/>
      <color theme="0"/>
      <name val="Lucida Console"/>
      <family val="3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E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horizontal="left"/>
    </xf>
    <xf numFmtId="0" fontId="2" fillId="8" borderId="0" xfId="0" applyFont="1" applyFill="1"/>
    <xf numFmtId="0" fontId="2" fillId="7" borderId="0" xfId="0" applyFont="1" applyFill="1"/>
    <xf numFmtId="0" fontId="0" fillId="0" borderId="1" xfId="0" applyBorder="1"/>
    <xf numFmtId="0" fontId="0" fillId="0" borderId="0" xfId="0" applyAlignment="1">
      <alignment horizontal="left"/>
    </xf>
    <xf numFmtId="1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4" xfId="0" applyBorder="1"/>
    <xf numFmtId="0" fontId="4" fillId="0" borderId="0" xfId="0" applyFont="1"/>
    <xf numFmtId="0" fontId="3" fillId="0" borderId="0" xfId="0" applyFont="1"/>
    <xf numFmtId="0" fontId="3" fillId="2" borderId="0" xfId="0" applyFont="1" applyFill="1"/>
    <xf numFmtId="0" fontId="0" fillId="9" borderId="0" xfId="0" applyFill="1"/>
    <xf numFmtId="11" fontId="0" fillId="2" borderId="0" xfId="0" applyNumberFormat="1" applyFill="1"/>
    <xf numFmtId="0" fontId="0" fillId="10" borderId="0" xfId="0" applyFill="1"/>
    <xf numFmtId="0" fontId="0" fillId="11" borderId="0" xfId="0" applyFill="1"/>
    <xf numFmtId="2" fontId="0" fillId="12" borderId="0" xfId="0" applyNumberFormat="1" applyFill="1"/>
    <xf numFmtId="0" fontId="0" fillId="12" borderId="0" xfId="0" applyFill="1"/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/>
    <xf numFmtId="0" fontId="0" fillId="12" borderId="1" xfId="0" applyFill="1" applyBorder="1"/>
    <xf numFmtId="164" fontId="0" fillId="0" borderId="0" xfId="0" applyNumberFormat="1"/>
    <xf numFmtId="164" fontId="0" fillId="12" borderId="0" xfId="0" applyNumberFormat="1" applyFill="1"/>
    <xf numFmtId="0" fontId="6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12" borderId="0" xfId="0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 Short Period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CGShiftStudy!$C$4:$C$5</c:f>
              <c:numCache>
                <c:formatCode>0.00</c:formatCode>
                <c:ptCount val="2"/>
                <c:pt idx="0">
                  <c:v>-0.99357499999999999</c:v>
                </c:pt>
                <c:pt idx="1">
                  <c:v>-0.99357499999999999</c:v>
                </c:pt>
              </c:numCache>
            </c:numRef>
          </c:xVal>
          <c:yVal>
            <c:numRef>
              <c:f>CGShiftStudy!$D$4:$D$5</c:f>
              <c:numCache>
                <c:formatCode>0.00</c:formatCode>
                <c:ptCount val="2"/>
                <c:pt idx="0">
                  <c:v>1.68804</c:v>
                </c:pt>
                <c:pt idx="1">
                  <c:v>-1.68804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97-479A-BFAD-8566A22B7AD2}"/>
            </c:ext>
          </c:extLst>
        </c:ser>
        <c:ser>
          <c:idx val="25"/>
          <c:order val="1"/>
          <c:tx>
            <c:v>BIRE Short Period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CGShiftStudy!$Q$4:$Q$5</c:f>
              <c:numCache>
                <c:formatCode>General</c:formatCode>
                <c:ptCount val="2"/>
                <c:pt idx="0">
                  <c:v>-1.01705</c:v>
                </c:pt>
                <c:pt idx="1">
                  <c:v>-1.01705</c:v>
                </c:pt>
              </c:numCache>
            </c:numRef>
          </c:xVal>
          <c:yVal>
            <c:numRef>
              <c:f>CGShiftStudy!$R$4:$R$5</c:f>
              <c:numCache>
                <c:formatCode>General</c:formatCode>
                <c:ptCount val="2"/>
                <c:pt idx="0">
                  <c:v>2.0674399999999999</c:v>
                </c:pt>
                <c:pt idx="1">
                  <c:v>-2.0674399999999999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397-479A-BFAD-8566A22B7AD2}"/>
            </c:ext>
          </c:extLst>
        </c:ser>
        <c:ser>
          <c:idx val="5"/>
          <c:order val="2"/>
          <c:tx>
            <c:v>F16 Phugoid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CGShiftStudy!$C$6:$C$7</c:f>
              <c:numCache>
                <c:formatCode>0.00</c:formatCode>
                <c:ptCount val="2"/>
                <c:pt idx="0">
                  <c:v>-8.1648500000000004E-4</c:v>
                </c:pt>
                <c:pt idx="1">
                  <c:v>-8.1648500000000004E-4</c:v>
                </c:pt>
              </c:numCache>
            </c:numRef>
          </c:xVal>
          <c:yVal>
            <c:numRef>
              <c:f>CGShiftStudy!$D$6:$D$7</c:f>
              <c:numCache>
                <c:formatCode>0.00</c:formatCode>
                <c:ptCount val="2"/>
                <c:pt idx="0">
                  <c:v>7.0389800000000002E-2</c:v>
                </c:pt>
                <c:pt idx="1">
                  <c:v>-7.0389800000000002E-2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97-479A-BFAD-8566A22B7AD2}"/>
            </c:ext>
          </c:extLst>
        </c:ser>
        <c:ser>
          <c:idx val="30"/>
          <c:order val="3"/>
          <c:tx>
            <c:v>BIRE Phugoid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CGShiftStudy!$Q$6:$Q$7</c:f>
              <c:numCache>
                <c:formatCode>General</c:formatCode>
                <c:ptCount val="2"/>
                <c:pt idx="0">
                  <c:v>-1.6935E-4</c:v>
                </c:pt>
                <c:pt idx="1">
                  <c:v>-1.6935E-4</c:v>
                </c:pt>
              </c:numCache>
            </c:numRef>
          </c:xVal>
          <c:yVal>
            <c:numRef>
              <c:f>CGShiftStudy!$R$6:$R$7</c:f>
              <c:numCache>
                <c:formatCode>General</c:formatCode>
                <c:ptCount val="2"/>
                <c:pt idx="0">
                  <c:v>7.3047899999999999E-2</c:v>
                </c:pt>
                <c:pt idx="1">
                  <c:v>-7.3047899999999999E-2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5397-479A-BFAD-8566A22B7AD2}"/>
            </c:ext>
          </c:extLst>
        </c:ser>
        <c:ser>
          <c:idx val="10"/>
          <c:order val="4"/>
          <c:tx>
            <c:v>F16 Roll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CGShiftStudy!$C$8</c:f>
              <c:numCache>
                <c:formatCode>0.00</c:formatCode>
                <c:ptCount val="1"/>
                <c:pt idx="0">
                  <c:v>-3.0981200000000002</c:v>
                </c:pt>
              </c:numCache>
            </c:numRef>
          </c:xVal>
          <c:yVal>
            <c:numRef>
              <c:f>CGShiftStudy!$D$8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397-479A-BFAD-8566A22B7AD2}"/>
            </c:ext>
          </c:extLst>
        </c:ser>
        <c:ser>
          <c:idx val="35"/>
          <c:order val="5"/>
          <c:tx>
            <c:v>BIRE Roll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CGShiftStudy!$Q$8</c:f>
              <c:numCache>
                <c:formatCode>General</c:formatCode>
                <c:ptCount val="1"/>
                <c:pt idx="0">
                  <c:v>-3.0406</c:v>
                </c:pt>
              </c:numCache>
            </c:numRef>
          </c:xVal>
          <c:yVal>
            <c:numRef>
              <c:f>CGShiftStudy!$R$8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5397-479A-BFAD-8566A22B7AD2}"/>
            </c:ext>
          </c:extLst>
        </c:ser>
        <c:ser>
          <c:idx val="15"/>
          <c:order val="6"/>
          <c:tx>
            <c:v>F16 Spiral</c:v>
          </c:tx>
          <c:spPr>
            <a:ln w="25400" cap="rnd">
              <a:noFill/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CGShiftStudy!$C$9</c:f>
              <c:numCache>
                <c:formatCode>0.00</c:formatCode>
                <c:ptCount val="1"/>
                <c:pt idx="0">
                  <c:v>3.27159E-3</c:v>
                </c:pt>
              </c:numCache>
            </c:numRef>
          </c:xVal>
          <c:yVal>
            <c:numRef>
              <c:f>CGShiftStudy!$D$9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397-479A-BFAD-8566A22B7AD2}"/>
            </c:ext>
          </c:extLst>
        </c:ser>
        <c:ser>
          <c:idx val="40"/>
          <c:order val="7"/>
          <c:tx>
            <c:v>BIRE Spiral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CGShiftStudy!$Q$9</c:f>
              <c:numCache>
                <c:formatCode>General</c:formatCode>
                <c:ptCount val="1"/>
                <c:pt idx="0">
                  <c:v>-1.5124500000000001E-2</c:v>
                </c:pt>
              </c:numCache>
            </c:numRef>
          </c:xVal>
          <c:yVal>
            <c:numRef>
              <c:f>CGShiftStudy!$R$9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397-479A-BFAD-8566A22B7AD2}"/>
            </c:ext>
          </c:extLst>
        </c:ser>
        <c:ser>
          <c:idx val="20"/>
          <c:order val="8"/>
          <c:tx>
            <c:v>F16 Dutch Roll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CGShiftStudy!$C$10:$C$11</c:f>
              <c:numCache>
                <c:formatCode>0.00</c:formatCode>
                <c:ptCount val="2"/>
                <c:pt idx="0">
                  <c:v>-0.200875</c:v>
                </c:pt>
                <c:pt idx="1">
                  <c:v>-0.200875</c:v>
                </c:pt>
              </c:numCache>
            </c:numRef>
          </c:xVal>
          <c:yVal>
            <c:numRef>
              <c:f>CGShiftStudy!$D$10:$D$11</c:f>
              <c:numCache>
                <c:formatCode>0.00</c:formatCode>
                <c:ptCount val="2"/>
                <c:pt idx="0">
                  <c:v>3.5251100000000002</c:v>
                </c:pt>
                <c:pt idx="1">
                  <c:v>-3.5251100000000002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397-479A-BFAD-8566A22B7AD2}"/>
            </c:ext>
          </c:extLst>
        </c:ser>
        <c:ser>
          <c:idx val="45"/>
          <c:order val="9"/>
          <c:tx>
            <c:v>BIRE Dutch Roll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CGShiftStudy!$Q$10:$Q$11</c:f>
              <c:numCache>
                <c:formatCode>General</c:formatCode>
                <c:ptCount val="2"/>
                <c:pt idx="0">
                  <c:v>-3.7906099999999998E-2</c:v>
                </c:pt>
                <c:pt idx="1">
                  <c:v>-3.7906099999999998E-2</c:v>
                </c:pt>
              </c:numCache>
            </c:numRef>
          </c:xVal>
          <c:yVal>
            <c:numRef>
              <c:f>CGShiftStudy!$R$10:$R$11</c:f>
              <c:numCache>
                <c:formatCode>General</c:formatCode>
                <c:ptCount val="2"/>
                <c:pt idx="0">
                  <c:v>0.88737299999999997</c:v>
                </c:pt>
                <c:pt idx="1">
                  <c:v>-0.88737299999999997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397-479A-BFAD-8566A22B7AD2}"/>
            </c:ext>
          </c:extLst>
        </c:ser>
        <c:ser>
          <c:idx val="1"/>
          <c:order val="10"/>
          <c:tx>
            <c:v>SP - F0.75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CGShiftStudy!$E$4:$E$5</c:f>
              <c:numCache>
                <c:formatCode>General</c:formatCode>
                <c:ptCount val="2"/>
                <c:pt idx="0">
                  <c:v>-0.95175799999999999</c:v>
                </c:pt>
                <c:pt idx="1">
                  <c:v>-0.95175799999999999</c:v>
                </c:pt>
              </c:numCache>
            </c:numRef>
          </c:xVal>
          <c:yVal>
            <c:numRef>
              <c:f>CGShiftStudy!$F$4:$F$5</c:f>
              <c:numCache>
                <c:formatCode>General</c:formatCode>
                <c:ptCount val="2"/>
                <c:pt idx="0">
                  <c:v>1.1208400000000001</c:v>
                </c:pt>
                <c:pt idx="1">
                  <c:v>-1.1208400000000001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97-479A-BFAD-8566A22B7AD2}"/>
            </c:ext>
          </c:extLst>
        </c:ser>
        <c:ser>
          <c:idx val="55"/>
          <c:order val="11"/>
          <c:tx>
            <c:v>SP - F0.56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CGShiftStudy!$G$4:$G$5</c:f>
              <c:numCache>
                <c:formatCode>General</c:formatCode>
                <c:ptCount val="2"/>
                <c:pt idx="0">
                  <c:v>-0.91718699999999997</c:v>
                </c:pt>
                <c:pt idx="1">
                  <c:v>-0.91718699999999997</c:v>
                </c:pt>
              </c:numCache>
            </c:numRef>
          </c:xVal>
          <c:yVal>
            <c:numRef>
              <c:f>CGShiftStudy!$H$4:$H$5</c:f>
              <c:numCache>
                <c:formatCode>General</c:formatCode>
                <c:ptCount val="2"/>
                <c:pt idx="0">
                  <c:v>0.20169899999999999</c:v>
                </c:pt>
                <c:pt idx="1">
                  <c:v>-0.20169899999999999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B2-4E58-A4E5-41515955A612}"/>
            </c:ext>
          </c:extLst>
        </c:ser>
        <c:ser>
          <c:idx val="52"/>
          <c:order val="12"/>
          <c:tx>
            <c:v>SP - F0.55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CGShiftStudy!$I$4:$I$5</c:f>
              <c:numCache>
                <c:formatCode>General</c:formatCode>
                <c:ptCount val="2"/>
                <c:pt idx="0">
                  <c:v>-1.07</c:v>
                </c:pt>
                <c:pt idx="1">
                  <c:v>-0.75959600000000005</c:v>
                </c:pt>
              </c:numCache>
            </c:numRef>
          </c:xVal>
          <c:yVal>
            <c:numRef>
              <c:f>CGShiftStudy!$J$4:$J$5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B2-4E58-A4E5-41515955A612}"/>
            </c:ext>
          </c:extLst>
        </c:ser>
        <c:ser>
          <c:idx val="2"/>
          <c:order val="13"/>
          <c:tx>
            <c:v>SP - F0.5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CGShiftStudy!$K$4:$K$5</c:f>
              <c:numCache>
                <c:formatCode>General</c:formatCode>
                <c:ptCount val="2"/>
                <c:pt idx="0">
                  <c:v>-1.49471</c:v>
                </c:pt>
                <c:pt idx="1">
                  <c:v>-0.294178</c:v>
                </c:pt>
              </c:numCache>
            </c:numRef>
          </c:xVal>
          <c:yVal>
            <c:numRef>
              <c:f>CGShiftStudy!$L$4:$L$5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97-479A-BFAD-8566A22B7AD2}"/>
            </c:ext>
          </c:extLst>
        </c:ser>
        <c:ser>
          <c:idx val="3"/>
          <c:order val="14"/>
          <c:tx>
            <c:v>SP - F0.25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CGShiftStudy!$M$4:$M$5</c:f>
              <c:numCache>
                <c:formatCode>General</c:formatCode>
                <c:ptCount val="2"/>
                <c:pt idx="0">
                  <c:v>-2.2618499999999999</c:v>
                </c:pt>
                <c:pt idx="1">
                  <c:v>0.53601100000000002</c:v>
                </c:pt>
              </c:numCache>
            </c:numRef>
          </c:xVal>
          <c:yVal>
            <c:numRef>
              <c:f>CGShiftStudy!$N$4:$N$5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97-479A-BFAD-8566A22B7AD2}"/>
            </c:ext>
          </c:extLst>
        </c:ser>
        <c:ser>
          <c:idx val="4"/>
          <c:order val="15"/>
          <c:tx>
            <c:v>SP - F0.0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CGShiftStudy!$O$4:$O$5</c:f>
              <c:numCache>
                <c:formatCode>General</c:formatCode>
                <c:ptCount val="2"/>
                <c:pt idx="0">
                  <c:v>-2.7095899999999999</c:v>
                </c:pt>
                <c:pt idx="1">
                  <c:v>1.05992</c:v>
                </c:pt>
              </c:numCache>
            </c:numRef>
          </c:xVal>
          <c:yVal>
            <c:numRef>
              <c:f>CGShiftStudy!$P$4:$P$5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397-479A-BFAD-8566A22B7AD2}"/>
            </c:ext>
          </c:extLst>
        </c:ser>
        <c:ser>
          <c:idx val="6"/>
          <c:order val="16"/>
          <c:tx>
            <c:v>P - F0.75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CGShiftStudy!$E$6:$E$7</c:f>
              <c:numCache>
                <c:formatCode>General</c:formatCode>
                <c:ptCount val="2"/>
                <c:pt idx="0">
                  <c:v>-9.6004800000000002E-4</c:v>
                </c:pt>
                <c:pt idx="1">
                  <c:v>-9.6004800000000002E-4</c:v>
                </c:pt>
              </c:numCache>
            </c:numRef>
          </c:xVal>
          <c:yVal>
            <c:numRef>
              <c:f>CGShiftStudy!$F$6:$F$7</c:f>
              <c:numCache>
                <c:formatCode>General</c:formatCode>
                <c:ptCount val="2"/>
                <c:pt idx="0">
                  <c:v>6.2941700000000003E-2</c:v>
                </c:pt>
                <c:pt idx="1">
                  <c:v>-6.2941700000000003E-2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397-479A-BFAD-8566A22B7AD2}"/>
            </c:ext>
          </c:extLst>
        </c:ser>
        <c:ser>
          <c:idx val="7"/>
          <c:order val="17"/>
          <c:tx>
            <c:v>P - F0.5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CGShiftStudy!$K$6:$K$7</c:f>
              <c:numCache>
                <c:formatCode>General</c:formatCode>
                <c:ptCount val="2"/>
                <c:pt idx="0">
                  <c:v>-8.4083099999999994E-2</c:v>
                </c:pt>
                <c:pt idx="1">
                  <c:v>5.0863800000000001E-2</c:v>
                </c:pt>
              </c:numCache>
            </c:numRef>
          </c:xVal>
          <c:yVal>
            <c:numRef>
              <c:f>CGShiftStudy!$L$6:$L$7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397-479A-BFAD-8566A22B7AD2}"/>
            </c:ext>
          </c:extLst>
        </c:ser>
        <c:ser>
          <c:idx val="8"/>
          <c:order val="18"/>
          <c:tx>
            <c:v>P - F0.25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CGShiftStudy!$M$6:$M$7</c:f>
              <c:numCache>
                <c:formatCode>General</c:formatCode>
                <c:ptCount val="2"/>
                <c:pt idx="0">
                  <c:v>-6.4847500000000001E-3</c:v>
                </c:pt>
                <c:pt idx="1">
                  <c:v>-6.4847500000000001E-3</c:v>
                </c:pt>
              </c:numCache>
            </c:numRef>
          </c:xVal>
          <c:yVal>
            <c:numRef>
              <c:f>CGShiftStudy!$N$6:$N$7</c:f>
              <c:numCache>
                <c:formatCode>General</c:formatCode>
                <c:ptCount val="2"/>
                <c:pt idx="0">
                  <c:v>0.100648</c:v>
                </c:pt>
                <c:pt idx="1">
                  <c:v>-0.100648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397-479A-BFAD-8566A22B7AD2}"/>
            </c:ext>
          </c:extLst>
        </c:ser>
        <c:ser>
          <c:idx val="9"/>
          <c:order val="19"/>
          <c:tx>
            <c:v>P - F0.0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CGShiftStudy!$O$6:$O$7</c:f>
              <c:numCache>
                <c:formatCode>General</c:formatCode>
                <c:ptCount val="2"/>
                <c:pt idx="0">
                  <c:v>-2.9310899999999999E-3</c:v>
                </c:pt>
                <c:pt idx="1">
                  <c:v>-2.9310899999999999E-3</c:v>
                </c:pt>
              </c:numCache>
            </c:numRef>
          </c:xVal>
          <c:yVal>
            <c:numRef>
              <c:f>CGShiftStudy!$P$6:$P$7</c:f>
              <c:numCache>
                <c:formatCode>General</c:formatCode>
                <c:ptCount val="2"/>
                <c:pt idx="0">
                  <c:v>8.9027999999999996E-2</c:v>
                </c:pt>
                <c:pt idx="1">
                  <c:v>-8.9027999999999996E-2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397-479A-BFAD-8566A22B7AD2}"/>
            </c:ext>
          </c:extLst>
        </c:ser>
        <c:ser>
          <c:idx val="11"/>
          <c:order val="20"/>
          <c:tx>
            <c:v>R - F0.75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CGShiftStudy!$E$8</c:f>
              <c:numCache>
                <c:formatCode>General</c:formatCode>
                <c:ptCount val="1"/>
                <c:pt idx="0">
                  <c:v>-3.09972</c:v>
                </c:pt>
              </c:numCache>
            </c:numRef>
          </c:xVal>
          <c:yVal>
            <c:numRef>
              <c:f>CGShiftStudy!$F$8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397-479A-BFAD-8566A22B7AD2}"/>
            </c:ext>
          </c:extLst>
        </c:ser>
        <c:ser>
          <c:idx val="12"/>
          <c:order val="21"/>
          <c:tx>
            <c:v>R - F0.5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CGShiftStudy!$K$8</c:f>
              <c:numCache>
                <c:formatCode>General</c:formatCode>
                <c:ptCount val="1"/>
                <c:pt idx="0">
                  <c:v>-3.1013799999999998</c:v>
                </c:pt>
              </c:numCache>
            </c:numRef>
          </c:xVal>
          <c:yVal>
            <c:numRef>
              <c:f>CGShiftStudy!$L$8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397-479A-BFAD-8566A22B7AD2}"/>
            </c:ext>
          </c:extLst>
        </c:ser>
        <c:ser>
          <c:idx val="13"/>
          <c:order val="22"/>
          <c:tx>
            <c:v>R - F0.25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CGShiftStudy!$M$8</c:f>
              <c:numCache>
                <c:formatCode>General</c:formatCode>
                <c:ptCount val="1"/>
                <c:pt idx="0">
                  <c:v>-3.1031200000000001</c:v>
                </c:pt>
              </c:numCache>
            </c:numRef>
          </c:xVal>
          <c:yVal>
            <c:numRef>
              <c:f>CGShiftStudy!$N$8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397-479A-BFAD-8566A22B7AD2}"/>
            </c:ext>
          </c:extLst>
        </c:ser>
        <c:ser>
          <c:idx val="14"/>
          <c:order val="23"/>
          <c:tx>
            <c:v>R - F0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CGShiftStudy!$O$8</c:f>
              <c:numCache>
                <c:formatCode>General</c:formatCode>
                <c:ptCount val="1"/>
                <c:pt idx="0">
                  <c:v>-3.10493</c:v>
                </c:pt>
              </c:numCache>
            </c:numRef>
          </c:xVal>
          <c:yVal>
            <c:numRef>
              <c:f>CGShiftStudy!$P$8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397-479A-BFAD-8566A22B7AD2}"/>
            </c:ext>
          </c:extLst>
        </c:ser>
        <c:ser>
          <c:idx val="16"/>
          <c:order val="24"/>
          <c:tx>
            <c:v>S - F0.75</c:v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CGShiftStudy!$E$9</c:f>
              <c:numCache>
                <c:formatCode>General</c:formatCode>
                <c:ptCount val="1"/>
                <c:pt idx="0">
                  <c:v>2.9268800000000002E-3</c:v>
                </c:pt>
              </c:numCache>
            </c:numRef>
          </c:xVal>
          <c:yVal>
            <c:numRef>
              <c:f>CGShiftStudy!$F$9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397-479A-BFAD-8566A22B7AD2}"/>
            </c:ext>
          </c:extLst>
        </c:ser>
        <c:ser>
          <c:idx val="17"/>
          <c:order val="25"/>
          <c:tx>
            <c:v>S - F0.5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CGShiftStudy!$K$9</c:f>
              <c:numCache>
                <c:formatCode>General</c:formatCode>
                <c:ptCount val="1"/>
                <c:pt idx="0">
                  <c:v>2.5701500000000002E-3</c:v>
                </c:pt>
              </c:numCache>
            </c:numRef>
          </c:xVal>
          <c:yVal>
            <c:numRef>
              <c:f>CGShiftStudy!$L$9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397-479A-BFAD-8566A22B7AD2}"/>
            </c:ext>
          </c:extLst>
        </c:ser>
        <c:ser>
          <c:idx val="18"/>
          <c:order val="26"/>
          <c:tx>
            <c:v>S - F0.25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CGShiftStudy!$M$9</c:f>
              <c:numCache>
                <c:formatCode>General</c:formatCode>
                <c:ptCount val="1"/>
                <c:pt idx="0">
                  <c:v>2.1997700000000002E-3</c:v>
                </c:pt>
              </c:numCache>
            </c:numRef>
          </c:xVal>
          <c:yVal>
            <c:numRef>
              <c:f>CGShiftStudy!$N$9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397-479A-BFAD-8566A22B7AD2}"/>
            </c:ext>
          </c:extLst>
        </c:ser>
        <c:ser>
          <c:idx val="19"/>
          <c:order val="27"/>
          <c:tx>
            <c:v>S - F0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CGShiftStudy!$O$9</c:f>
              <c:numCache>
                <c:formatCode>General</c:formatCode>
                <c:ptCount val="1"/>
                <c:pt idx="0">
                  <c:v>1.81431E-3</c:v>
                </c:pt>
              </c:numCache>
            </c:numRef>
          </c:xVal>
          <c:yVal>
            <c:numRef>
              <c:f>CGShiftStudy!$P$9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397-479A-BFAD-8566A22B7AD2}"/>
            </c:ext>
          </c:extLst>
        </c:ser>
        <c:ser>
          <c:idx val="21"/>
          <c:order val="28"/>
          <c:tx>
            <c:v>DR - F0.75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CGShiftStudy!$E$10:$E$11</c:f>
              <c:numCache>
                <c:formatCode>General</c:formatCode>
                <c:ptCount val="2"/>
                <c:pt idx="0">
                  <c:v>-0.19748099999999999</c:v>
                </c:pt>
                <c:pt idx="1">
                  <c:v>-0.19748099999999999</c:v>
                </c:pt>
              </c:numCache>
            </c:numRef>
          </c:xVal>
          <c:yVal>
            <c:numRef>
              <c:f>CGShiftStudy!$F$10:$F$11</c:f>
              <c:numCache>
                <c:formatCode>General</c:formatCode>
                <c:ptCount val="2"/>
                <c:pt idx="0">
                  <c:v>3.46523</c:v>
                </c:pt>
                <c:pt idx="1">
                  <c:v>-3.46523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397-479A-BFAD-8566A22B7AD2}"/>
            </c:ext>
          </c:extLst>
        </c:ser>
        <c:ser>
          <c:idx val="22"/>
          <c:order val="29"/>
          <c:tx>
            <c:v>DR - F0.5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CGShiftStudy!$K$10:$K$11</c:f>
              <c:numCache>
                <c:formatCode>General</c:formatCode>
                <c:ptCount val="2"/>
                <c:pt idx="0">
                  <c:v>-0.19404399999999999</c:v>
                </c:pt>
                <c:pt idx="1">
                  <c:v>-0.19404399999999999</c:v>
                </c:pt>
              </c:numCache>
            </c:numRef>
          </c:xVal>
          <c:yVal>
            <c:numRef>
              <c:f>CGShiftStudy!$L$10:$L$11</c:f>
              <c:numCache>
                <c:formatCode>General</c:formatCode>
                <c:ptCount val="2"/>
                <c:pt idx="0">
                  <c:v>3.40435</c:v>
                </c:pt>
                <c:pt idx="1">
                  <c:v>-3.40435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397-479A-BFAD-8566A22B7AD2}"/>
            </c:ext>
          </c:extLst>
        </c:ser>
        <c:ser>
          <c:idx val="23"/>
          <c:order val="30"/>
          <c:tx>
            <c:v>DR - F0.25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CGShiftStudy!$M$10:$M$11</c:f>
              <c:numCache>
                <c:formatCode>General</c:formatCode>
                <c:ptCount val="2"/>
                <c:pt idx="0">
                  <c:v>-0.19055900000000001</c:v>
                </c:pt>
                <c:pt idx="1">
                  <c:v>-0.19055900000000001</c:v>
                </c:pt>
              </c:numCache>
            </c:numRef>
          </c:xVal>
          <c:yVal>
            <c:numRef>
              <c:f>CGShiftStudy!$N$10:$N$11</c:f>
              <c:numCache>
                <c:formatCode>General</c:formatCode>
                <c:ptCount val="2"/>
                <c:pt idx="0">
                  <c:v>3.3424399999999999</c:v>
                </c:pt>
                <c:pt idx="1">
                  <c:v>-3.3424399999999999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397-479A-BFAD-8566A22B7AD2}"/>
            </c:ext>
          </c:extLst>
        </c:ser>
        <c:ser>
          <c:idx val="24"/>
          <c:order val="31"/>
          <c:tx>
            <c:v>DR - F0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CGShiftStudy!$O$10:$O$11</c:f>
              <c:numCache>
                <c:formatCode>General</c:formatCode>
                <c:ptCount val="2"/>
                <c:pt idx="0">
                  <c:v>-0.187024</c:v>
                </c:pt>
                <c:pt idx="1">
                  <c:v>-0.187024</c:v>
                </c:pt>
              </c:numCache>
            </c:numRef>
          </c:xVal>
          <c:yVal>
            <c:numRef>
              <c:f>CGShiftStudy!$P$10:$P$11</c:f>
              <c:numCache>
                <c:formatCode>General</c:formatCode>
                <c:ptCount val="2"/>
                <c:pt idx="0">
                  <c:v>3.27942</c:v>
                </c:pt>
                <c:pt idx="1">
                  <c:v>-3.27942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397-479A-BFAD-8566A22B7AD2}"/>
            </c:ext>
          </c:extLst>
        </c:ser>
        <c:ser>
          <c:idx val="26"/>
          <c:order val="32"/>
          <c:tx>
            <c:v>SP - B0.75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CGShiftStudy!$S$4:$S$5</c:f>
              <c:numCache>
                <c:formatCode>General</c:formatCode>
                <c:ptCount val="2"/>
                <c:pt idx="0">
                  <c:v>-0.975101</c:v>
                </c:pt>
                <c:pt idx="1">
                  <c:v>-0.975101</c:v>
                </c:pt>
              </c:numCache>
            </c:numRef>
          </c:xVal>
          <c:yVal>
            <c:numRef>
              <c:f>CGShiftStudy!$T$4:$T$5</c:f>
              <c:numCache>
                <c:formatCode>General</c:formatCode>
                <c:ptCount val="2"/>
                <c:pt idx="0">
                  <c:v>1.63019</c:v>
                </c:pt>
                <c:pt idx="1">
                  <c:v>-1.63019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5397-479A-BFAD-8566A22B7AD2}"/>
            </c:ext>
          </c:extLst>
        </c:ser>
        <c:ser>
          <c:idx val="27"/>
          <c:order val="33"/>
          <c:tx>
            <c:v>SP - B0.5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CGShiftStudy!$U$4:$U$5</c:f>
              <c:numCache>
                <c:formatCode>General</c:formatCode>
                <c:ptCount val="2"/>
                <c:pt idx="0">
                  <c:v>-0.93293400000000004</c:v>
                </c:pt>
                <c:pt idx="1">
                  <c:v>-0.93293400000000004</c:v>
                </c:pt>
              </c:numCache>
            </c:numRef>
          </c:xVal>
          <c:yVal>
            <c:numRef>
              <c:f>CGShiftStudy!$V$4:$V$5</c:f>
              <c:numCache>
                <c:formatCode>General</c:formatCode>
                <c:ptCount val="2"/>
                <c:pt idx="0">
                  <c:v>1.0186999999999999</c:v>
                </c:pt>
                <c:pt idx="1">
                  <c:v>-1.0186999999999999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397-479A-BFAD-8566A22B7AD2}"/>
            </c:ext>
          </c:extLst>
        </c:ser>
        <c:ser>
          <c:idx val="56"/>
          <c:order val="34"/>
          <c:tx>
            <c:v>SP - B0.34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CGShiftStudy!$W$4:$W$5</c:f>
              <c:numCache>
                <c:formatCode>General</c:formatCode>
                <c:ptCount val="2"/>
                <c:pt idx="0">
                  <c:v>-0.964256</c:v>
                </c:pt>
                <c:pt idx="1">
                  <c:v>-0.84131400000000001</c:v>
                </c:pt>
              </c:numCache>
            </c:numRef>
          </c:xVal>
          <c:yVal>
            <c:numRef>
              <c:f>CGShiftStudy!$X$4:$X$5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B2-4E58-A4E5-41515955A612}"/>
            </c:ext>
          </c:extLst>
        </c:ser>
        <c:ser>
          <c:idx val="54"/>
          <c:order val="35"/>
          <c:tx>
            <c:v>SP - B0.33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CGShiftStudy!$Y$4:$Y$5</c:f>
              <c:numCache>
                <c:formatCode>General</c:formatCode>
                <c:ptCount val="2"/>
                <c:pt idx="0">
                  <c:v>-1.1645000000000001</c:v>
                </c:pt>
                <c:pt idx="1">
                  <c:v>-0.63585499999999995</c:v>
                </c:pt>
              </c:numCache>
            </c:numRef>
          </c:xVal>
          <c:yVal>
            <c:numRef>
              <c:f>CGShiftStudy!$Z$4:$Z$5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B2-4E58-A4E5-41515955A612}"/>
            </c:ext>
          </c:extLst>
        </c:ser>
        <c:ser>
          <c:idx val="28"/>
          <c:order val="36"/>
          <c:tx>
            <c:v>SP - B0.25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CGShiftStudy!$AA$4:$AA$5</c:f>
              <c:numCache>
                <c:formatCode>General</c:formatCode>
                <c:ptCount val="2"/>
                <c:pt idx="0">
                  <c:v>-1.65716</c:v>
                </c:pt>
                <c:pt idx="1">
                  <c:v>8.9075600000000005E-2</c:v>
                </c:pt>
              </c:numCache>
            </c:numRef>
          </c:xVal>
          <c:yVal>
            <c:numRef>
              <c:f>CGShiftStudy!$AB$4:$AB$5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397-479A-BFAD-8566A22B7AD2}"/>
            </c:ext>
          </c:extLst>
        </c:ser>
        <c:ser>
          <c:idx val="29"/>
          <c:order val="37"/>
          <c:tx>
            <c:v>SP - B0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CGShiftStudy!$AC$4:$AC$5</c:f>
              <c:numCache>
                <c:formatCode>General</c:formatCode>
                <c:ptCount val="2"/>
                <c:pt idx="0">
                  <c:v>-2.3369499999999999</c:v>
                </c:pt>
                <c:pt idx="1">
                  <c:v>0.64694600000000002</c:v>
                </c:pt>
              </c:numCache>
            </c:numRef>
          </c:xVal>
          <c:yVal>
            <c:numRef>
              <c:f>CGShiftStudy!$AD$4:$AD$5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397-479A-BFAD-8566A22B7AD2}"/>
            </c:ext>
          </c:extLst>
        </c:ser>
        <c:ser>
          <c:idx val="31"/>
          <c:order val="38"/>
          <c:tx>
            <c:v>P - B0.75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CGShiftStudy!$S$6:$S$7</c:f>
              <c:numCache>
                <c:formatCode>General</c:formatCode>
                <c:ptCount val="2"/>
                <c:pt idx="0">
                  <c:v>-1.50304E-4</c:v>
                </c:pt>
                <c:pt idx="1">
                  <c:v>-1.50304E-4</c:v>
                </c:pt>
              </c:numCache>
            </c:numRef>
          </c:xVal>
          <c:yVal>
            <c:numRef>
              <c:f>CGShiftStudy!$T$6:$T$7</c:f>
              <c:numCache>
                <c:formatCode>General</c:formatCode>
                <c:ptCount val="2"/>
                <c:pt idx="0">
                  <c:v>7.0073499999999997E-2</c:v>
                </c:pt>
                <c:pt idx="1">
                  <c:v>-7.0073499999999997E-2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5397-479A-BFAD-8566A22B7AD2}"/>
            </c:ext>
          </c:extLst>
        </c:ser>
        <c:ser>
          <c:idx val="32"/>
          <c:order val="39"/>
          <c:tx>
            <c:v>P - B0.5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CGShiftStudy!$U$6:$U$7</c:f>
              <c:numCache>
                <c:formatCode>General</c:formatCode>
                <c:ptCount val="2"/>
                <c:pt idx="0">
                  <c:v>-3.63665E-4</c:v>
                </c:pt>
                <c:pt idx="1">
                  <c:v>-3.63665E-4</c:v>
                </c:pt>
              </c:numCache>
            </c:numRef>
          </c:xVal>
          <c:yVal>
            <c:numRef>
              <c:f>CGShiftStudy!$V$6:$V$7</c:f>
              <c:numCache>
                <c:formatCode>General</c:formatCode>
                <c:ptCount val="2"/>
                <c:pt idx="0">
                  <c:v>6.1021800000000001E-2</c:v>
                </c:pt>
                <c:pt idx="1">
                  <c:v>-6.1021800000000001E-2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5397-479A-BFAD-8566A22B7AD2}"/>
            </c:ext>
          </c:extLst>
        </c:ser>
        <c:ser>
          <c:idx val="33"/>
          <c:order val="40"/>
          <c:tx>
            <c:v>P - B0.25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CGShiftStudy!$AA$6:$AA$7</c:f>
              <c:numCache>
                <c:formatCode>General</c:formatCode>
                <c:ptCount val="2"/>
                <c:pt idx="0">
                  <c:v>-0.10731599999999999</c:v>
                </c:pt>
                <c:pt idx="1">
                  <c:v>-0.10731599999999999</c:v>
                </c:pt>
              </c:numCache>
            </c:numRef>
          </c:xVal>
          <c:yVal>
            <c:numRef>
              <c:f>CGShiftStudy!$AB$6:$AB$7</c:f>
              <c:numCache>
                <c:formatCode>General</c:formatCode>
                <c:ptCount val="2"/>
                <c:pt idx="0">
                  <c:v>0.110762</c:v>
                </c:pt>
                <c:pt idx="1">
                  <c:v>-0.110762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5397-479A-BFAD-8566A22B7AD2}"/>
            </c:ext>
          </c:extLst>
        </c:ser>
        <c:ser>
          <c:idx val="34"/>
          <c:order val="41"/>
          <c:tx>
            <c:v>P - B0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CGShiftStudy!$AC$6:$AC$7</c:f>
              <c:numCache>
                <c:formatCode>General</c:formatCode>
                <c:ptCount val="2"/>
                <c:pt idx="0">
                  <c:v>-4.4227299999999997E-3</c:v>
                </c:pt>
                <c:pt idx="1">
                  <c:v>-4.4227299999999997E-3</c:v>
                </c:pt>
              </c:numCache>
            </c:numRef>
          </c:xVal>
          <c:yVal>
            <c:numRef>
              <c:f>CGShiftStudy!$AD$6:$AD$7</c:f>
              <c:numCache>
                <c:formatCode>General</c:formatCode>
                <c:ptCount val="2"/>
                <c:pt idx="0">
                  <c:v>9.6576400000000007E-2</c:v>
                </c:pt>
                <c:pt idx="1">
                  <c:v>-9.6576400000000007E-2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5397-479A-BFAD-8566A22B7AD2}"/>
            </c:ext>
          </c:extLst>
        </c:ser>
        <c:ser>
          <c:idx val="36"/>
          <c:order val="42"/>
          <c:tx>
            <c:v>R - B0.75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CGShiftStudy!$S$8</c:f>
              <c:numCache>
                <c:formatCode>General</c:formatCode>
                <c:ptCount val="1"/>
                <c:pt idx="0">
                  <c:v>-3.0425499999999999</c:v>
                </c:pt>
              </c:numCache>
            </c:numRef>
          </c:xVal>
          <c:yVal>
            <c:numRef>
              <c:f>CGShiftStudy!$T$8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5397-479A-BFAD-8566A22B7AD2}"/>
            </c:ext>
          </c:extLst>
        </c:ser>
        <c:ser>
          <c:idx val="37"/>
          <c:order val="43"/>
          <c:tx>
            <c:v>R - B0.5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CGShiftStudy!$U$8</c:f>
              <c:numCache>
                <c:formatCode>General</c:formatCode>
                <c:ptCount val="1"/>
                <c:pt idx="0">
                  <c:v>-3.0445700000000002</c:v>
                </c:pt>
              </c:numCache>
            </c:numRef>
          </c:xVal>
          <c:yVal>
            <c:numRef>
              <c:f>CGShiftStudy!$V$8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5397-479A-BFAD-8566A22B7AD2}"/>
            </c:ext>
          </c:extLst>
        </c:ser>
        <c:ser>
          <c:idx val="38"/>
          <c:order val="44"/>
          <c:tx>
            <c:v>R - B0.25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CGShiftStudy!$AA$8</c:f>
              <c:numCache>
                <c:formatCode>General</c:formatCode>
                <c:ptCount val="1"/>
                <c:pt idx="0">
                  <c:v>-3.0466500000000001</c:v>
                </c:pt>
              </c:numCache>
            </c:numRef>
          </c:xVal>
          <c:yVal>
            <c:numRef>
              <c:f>CGShiftStudy!$AB$8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5397-479A-BFAD-8566A22B7AD2}"/>
            </c:ext>
          </c:extLst>
        </c:ser>
        <c:ser>
          <c:idx val="39"/>
          <c:order val="45"/>
          <c:tx>
            <c:v>R - B0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CGShiftStudy!$AC$8</c:f>
              <c:numCache>
                <c:formatCode>General</c:formatCode>
                <c:ptCount val="1"/>
                <c:pt idx="0">
                  <c:v>-3.0487899999999999</c:v>
                </c:pt>
              </c:numCache>
            </c:numRef>
          </c:xVal>
          <c:yVal>
            <c:numRef>
              <c:f>CGShiftStudy!$AD$8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5397-479A-BFAD-8566A22B7AD2}"/>
            </c:ext>
          </c:extLst>
        </c:ser>
        <c:ser>
          <c:idx val="41"/>
          <c:order val="46"/>
          <c:tx>
            <c:v>S - B0.75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CGShiftStudy!$S$9</c:f>
              <c:numCache>
                <c:formatCode>General</c:formatCode>
                <c:ptCount val="1"/>
                <c:pt idx="0">
                  <c:v>-2.2377399999999999E-2</c:v>
                </c:pt>
              </c:numCache>
            </c:numRef>
          </c:xVal>
          <c:yVal>
            <c:numRef>
              <c:f>CGShiftStudy!$T$9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5397-479A-BFAD-8566A22B7AD2}"/>
            </c:ext>
          </c:extLst>
        </c:ser>
        <c:ser>
          <c:idx val="42"/>
          <c:order val="47"/>
          <c:tx>
            <c:v>S - B0.5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CGShiftStudy!$U$9</c:f>
              <c:numCache>
                <c:formatCode>General</c:formatCode>
                <c:ptCount val="1"/>
                <c:pt idx="0">
                  <c:v>-3.57974E-2</c:v>
                </c:pt>
              </c:numCache>
            </c:numRef>
          </c:xVal>
          <c:yVal>
            <c:numRef>
              <c:f>CGShiftStudy!$V$9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5397-479A-BFAD-8566A22B7AD2}"/>
            </c:ext>
          </c:extLst>
        </c:ser>
        <c:ser>
          <c:idx val="43"/>
          <c:order val="48"/>
          <c:tx>
            <c:v>S - B0.25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CGShiftStudy!$AA$9</c:f>
              <c:numCache>
                <c:formatCode>General</c:formatCode>
                <c:ptCount val="1"/>
                <c:pt idx="0">
                  <c:v>-6.9354499999999999E-2</c:v>
                </c:pt>
              </c:numCache>
            </c:numRef>
          </c:xVal>
          <c:yVal>
            <c:numRef>
              <c:f>CGShiftStudy!$AB$9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5397-479A-BFAD-8566A22B7AD2}"/>
            </c:ext>
          </c:extLst>
        </c:ser>
        <c:ser>
          <c:idx val="44"/>
          <c:order val="49"/>
          <c:tx>
            <c:v>S - B0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CGShiftStudy!$AC$9</c:f>
              <c:numCache>
                <c:formatCode>General</c:formatCode>
                <c:ptCount val="1"/>
                <c:pt idx="0">
                  <c:v>-0.212311</c:v>
                </c:pt>
              </c:numCache>
            </c:numRef>
          </c:xVal>
          <c:yVal>
            <c:numRef>
              <c:f>CGShiftStudy!$AD$9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5397-479A-BFAD-8566A22B7AD2}"/>
            </c:ext>
          </c:extLst>
        </c:ser>
        <c:ser>
          <c:idx val="46"/>
          <c:order val="50"/>
          <c:tx>
            <c:v>DR - B0.75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CGShiftStudy!$S$10:$S$11</c:f>
              <c:numCache>
                <c:formatCode>General</c:formatCode>
                <c:ptCount val="2"/>
                <c:pt idx="0">
                  <c:v>-3.2697299999999999E-2</c:v>
                </c:pt>
                <c:pt idx="1">
                  <c:v>-3.2697299999999999E-2</c:v>
                </c:pt>
              </c:numCache>
            </c:numRef>
          </c:xVal>
          <c:yVal>
            <c:numRef>
              <c:f>CGShiftStudy!$T$10:$T$11</c:f>
              <c:numCache>
                <c:formatCode>General</c:formatCode>
                <c:ptCount val="2"/>
                <c:pt idx="0">
                  <c:v>0.77672200000000002</c:v>
                </c:pt>
                <c:pt idx="1">
                  <c:v>-0.77672200000000002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397-479A-BFAD-8566A22B7AD2}"/>
            </c:ext>
          </c:extLst>
        </c:ser>
        <c:ser>
          <c:idx val="47"/>
          <c:order val="51"/>
          <c:tx>
            <c:v>DR - B0.5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CGShiftStudy!$U$10:$U$11</c:f>
              <c:numCache>
                <c:formatCode>General</c:formatCode>
                <c:ptCount val="2"/>
                <c:pt idx="0">
                  <c:v>-2.43722E-2</c:v>
                </c:pt>
                <c:pt idx="1">
                  <c:v>-2.43722E-2</c:v>
                </c:pt>
              </c:numCache>
            </c:numRef>
          </c:xVal>
          <c:yVal>
            <c:numRef>
              <c:f>CGShiftStudy!$V$10:$V$11</c:f>
              <c:numCache>
                <c:formatCode>General</c:formatCode>
                <c:ptCount val="2"/>
                <c:pt idx="0">
                  <c:v>0.64785300000000001</c:v>
                </c:pt>
                <c:pt idx="1">
                  <c:v>-0.64785300000000001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397-479A-BFAD-8566A22B7AD2}"/>
            </c:ext>
          </c:extLst>
        </c:ser>
        <c:ser>
          <c:idx val="48"/>
          <c:order val="52"/>
          <c:tx>
            <c:v>DR - B0.25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CGShiftStudy!$AA$10:$AA$11</c:f>
              <c:numCache>
                <c:formatCode>General</c:formatCode>
                <c:ptCount val="2"/>
                <c:pt idx="0">
                  <c:v>-5.9391499999999998E-3</c:v>
                </c:pt>
                <c:pt idx="1">
                  <c:v>-5.9391499999999998E-3</c:v>
                </c:pt>
              </c:numCache>
            </c:numRef>
          </c:xVal>
          <c:yVal>
            <c:numRef>
              <c:f>CGShiftStudy!$AB$10:$AB$11</c:f>
              <c:numCache>
                <c:formatCode>General</c:formatCode>
                <c:ptCount val="2"/>
                <c:pt idx="0">
                  <c:v>0.48765700000000001</c:v>
                </c:pt>
                <c:pt idx="1">
                  <c:v>-0.48765700000000001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397-479A-BFAD-8566A22B7AD2}"/>
            </c:ext>
          </c:extLst>
        </c:ser>
        <c:ser>
          <c:idx val="49"/>
          <c:order val="53"/>
          <c:tx>
            <c:v>DR - B0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CGShiftStudy!$AC$10:$AC$11</c:f>
              <c:numCache>
                <c:formatCode>General</c:formatCode>
                <c:ptCount val="2"/>
                <c:pt idx="0">
                  <c:v>6.7227700000000001E-2</c:v>
                </c:pt>
                <c:pt idx="1">
                  <c:v>6.7227700000000001E-2</c:v>
                </c:pt>
              </c:numCache>
            </c:numRef>
          </c:xVal>
          <c:yVal>
            <c:numRef>
              <c:f>CGShiftStudy!$AD$10:$AD$11</c:f>
              <c:numCache>
                <c:formatCode>General</c:formatCode>
                <c:ptCount val="2"/>
                <c:pt idx="0">
                  <c:v>0.282279</c:v>
                </c:pt>
                <c:pt idx="1">
                  <c:v>-0.282279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397-479A-BFAD-8566A22B7AD2}"/>
            </c:ext>
          </c:extLst>
        </c:ser>
        <c:ser>
          <c:idx val="50"/>
          <c:order val="54"/>
          <c:tx>
            <c:v>BOX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CGShiftStudy!$AF$4:$AF$7</c:f>
              <c:numCache>
                <c:formatCode>General</c:formatCode>
                <c:ptCount val="4"/>
                <c:pt idx="0">
                  <c:v>-0.25</c:v>
                </c:pt>
                <c:pt idx="1">
                  <c:v>-0.25</c:v>
                </c:pt>
                <c:pt idx="2">
                  <c:v>0.1</c:v>
                </c:pt>
                <c:pt idx="3">
                  <c:v>0.1</c:v>
                </c:pt>
              </c:numCache>
            </c:numRef>
          </c:xVal>
          <c:yVal>
            <c:numRef>
              <c:f>CGShiftStudy!$AG$4:$AG$7</c:f>
              <c:numCache>
                <c:formatCode>General</c:formatCode>
                <c:ptCount val="4"/>
                <c:pt idx="0">
                  <c:v>-0.15</c:v>
                </c:pt>
                <c:pt idx="1">
                  <c:v>0.15</c:v>
                </c:pt>
                <c:pt idx="2">
                  <c:v>-0.15</c:v>
                </c:pt>
                <c:pt idx="3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397-479A-BFAD-8566A22B7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6852524803211784E-2"/>
          <c:y val="3.6140794900637416E-2"/>
          <c:w val="0.36688932633420829"/>
          <c:h val="0.13322623596022301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256569368180633E-2"/>
          <c:y val="2.3477617465498764E-2"/>
          <c:w val="0.89028191183168959"/>
          <c:h val="0.88924110450174076"/>
        </c:manualLayout>
      </c:layout>
      <c:scatterChart>
        <c:scatterStyle val="lineMarker"/>
        <c:varyColors val="0"/>
        <c:ser>
          <c:idx val="5"/>
          <c:order val="0"/>
          <c:tx>
            <c:v>F16 Phugoid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CGShiftStudy!$C$6:$C$7</c:f>
              <c:numCache>
                <c:formatCode>0.00</c:formatCode>
                <c:ptCount val="2"/>
                <c:pt idx="0">
                  <c:v>-8.1648500000000004E-4</c:v>
                </c:pt>
                <c:pt idx="1">
                  <c:v>-8.1648500000000004E-4</c:v>
                </c:pt>
              </c:numCache>
            </c:numRef>
          </c:xVal>
          <c:yVal>
            <c:numRef>
              <c:f>CGShiftStudy!$D$6:$D$7</c:f>
              <c:numCache>
                <c:formatCode>0.00</c:formatCode>
                <c:ptCount val="2"/>
                <c:pt idx="0">
                  <c:v>7.0389800000000002E-2</c:v>
                </c:pt>
                <c:pt idx="1">
                  <c:v>-7.0389800000000002E-2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49-4798-B12E-1AED0CD206D5}"/>
            </c:ext>
          </c:extLst>
        </c:ser>
        <c:ser>
          <c:idx val="30"/>
          <c:order val="1"/>
          <c:tx>
            <c:v>BIRE Phugoid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CGShiftStudy!$Q$6:$Q$7</c:f>
              <c:numCache>
                <c:formatCode>General</c:formatCode>
                <c:ptCount val="2"/>
                <c:pt idx="0">
                  <c:v>-1.6935E-4</c:v>
                </c:pt>
                <c:pt idx="1">
                  <c:v>-1.6935E-4</c:v>
                </c:pt>
              </c:numCache>
            </c:numRef>
          </c:xVal>
          <c:yVal>
            <c:numRef>
              <c:f>CGShiftStudy!$R$6:$R$7</c:f>
              <c:numCache>
                <c:formatCode>General</c:formatCode>
                <c:ptCount val="2"/>
                <c:pt idx="0">
                  <c:v>7.3047899999999999E-2</c:v>
                </c:pt>
                <c:pt idx="1">
                  <c:v>-7.3047899999999999E-2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49-4798-B12E-1AED0CD206D5}"/>
            </c:ext>
          </c:extLst>
        </c:ser>
        <c:ser>
          <c:idx val="15"/>
          <c:order val="2"/>
          <c:tx>
            <c:v>F16 Spiral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CGShiftStudy!$C$9</c:f>
              <c:numCache>
                <c:formatCode>0.00</c:formatCode>
                <c:ptCount val="1"/>
                <c:pt idx="0">
                  <c:v>3.27159E-3</c:v>
                </c:pt>
              </c:numCache>
            </c:numRef>
          </c:xVal>
          <c:yVal>
            <c:numRef>
              <c:f>CGShiftStudy!$D$9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49-4798-B12E-1AED0CD206D5}"/>
            </c:ext>
          </c:extLst>
        </c:ser>
        <c:ser>
          <c:idx val="40"/>
          <c:order val="3"/>
          <c:tx>
            <c:v>BIRE Spiral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CGShiftStudy!$Q$9</c:f>
              <c:numCache>
                <c:formatCode>General</c:formatCode>
                <c:ptCount val="1"/>
                <c:pt idx="0">
                  <c:v>-1.5124500000000001E-2</c:v>
                </c:pt>
              </c:numCache>
            </c:numRef>
          </c:xVal>
          <c:yVal>
            <c:numRef>
              <c:f>CGShiftStudy!$R$9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49-4798-B12E-1AED0CD206D5}"/>
            </c:ext>
          </c:extLst>
        </c:ser>
        <c:ser>
          <c:idx val="6"/>
          <c:order val="4"/>
          <c:tx>
            <c:v>P - F0.75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CGShiftStudy!$E$6:$E$7</c:f>
              <c:numCache>
                <c:formatCode>General</c:formatCode>
                <c:ptCount val="2"/>
                <c:pt idx="0">
                  <c:v>-9.6004800000000002E-4</c:v>
                </c:pt>
                <c:pt idx="1">
                  <c:v>-9.6004800000000002E-4</c:v>
                </c:pt>
              </c:numCache>
            </c:numRef>
          </c:xVal>
          <c:yVal>
            <c:numRef>
              <c:f>CGShiftStudy!$F$6:$F$7</c:f>
              <c:numCache>
                <c:formatCode>General</c:formatCode>
                <c:ptCount val="2"/>
                <c:pt idx="0">
                  <c:v>6.2941700000000003E-2</c:v>
                </c:pt>
                <c:pt idx="1">
                  <c:v>-6.2941700000000003E-2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649-4798-B12E-1AED0CD206D5}"/>
            </c:ext>
          </c:extLst>
        </c:ser>
        <c:ser>
          <c:idx val="1"/>
          <c:order val="5"/>
          <c:tx>
            <c:v>P - F0.55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CGShiftStudy!$I$6:$I$7</c:f>
              <c:numCache>
                <c:formatCode>General</c:formatCode>
                <c:ptCount val="2"/>
                <c:pt idx="0">
                  <c:v>-4.5900699999999999E-3</c:v>
                </c:pt>
                <c:pt idx="1">
                  <c:v>-4.5900699999999999E-3</c:v>
                </c:pt>
              </c:numCache>
            </c:numRef>
          </c:xVal>
          <c:yVal>
            <c:numRef>
              <c:f>CGShiftStudy!$J$6:$J$7</c:f>
              <c:numCache>
                <c:formatCode>General</c:formatCode>
                <c:ptCount val="2"/>
                <c:pt idx="0">
                  <c:v>1.53793E-2</c:v>
                </c:pt>
                <c:pt idx="1">
                  <c:v>-1.53793E-2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7-4C78-B05C-17AC666F1C23}"/>
            </c:ext>
          </c:extLst>
        </c:ser>
        <c:ser>
          <c:idx val="7"/>
          <c:order val="6"/>
          <c:tx>
            <c:v>P - F0.5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CGShiftStudy!$K$6:$K$7</c:f>
              <c:numCache>
                <c:formatCode>General</c:formatCode>
                <c:ptCount val="2"/>
                <c:pt idx="0">
                  <c:v>-8.4083099999999994E-2</c:v>
                </c:pt>
                <c:pt idx="1">
                  <c:v>5.0863800000000001E-2</c:v>
                </c:pt>
              </c:numCache>
            </c:numRef>
          </c:xVal>
          <c:yVal>
            <c:numRef>
              <c:f>CGShiftStudy!$L$6:$L$7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649-4798-B12E-1AED0CD206D5}"/>
            </c:ext>
          </c:extLst>
        </c:ser>
        <c:ser>
          <c:idx val="8"/>
          <c:order val="7"/>
          <c:tx>
            <c:v>P - F0.25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CGShiftStudy!$M$6:$M$7</c:f>
              <c:numCache>
                <c:formatCode>General</c:formatCode>
                <c:ptCount val="2"/>
                <c:pt idx="0">
                  <c:v>-6.4847500000000001E-3</c:v>
                </c:pt>
                <c:pt idx="1">
                  <c:v>-6.4847500000000001E-3</c:v>
                </c:pt>
              </c:numCache>
            </c:numRef>
          </c:xVal>
          <c:yVal>
            <c:numRef>
              <c:f>CGShiftStudy!$N$6:$N$7</c:f>
              <c:numCache>
                <c:formatCode>General</c:formatCode>
                <c:ptCount val="2"/>
                <c:pt idx="0">
                  <c:v>0.100648</c:v>
                </c:pt>
                <c:pt idx="1">
                  <c:v>-0.100648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649-4798-B12E-1AED0CD206D5}"/>
            </c:ext>
          </c:extLst>
        </c:ser>
        <c:ser>
          <c:idx val="9"/>
          <c:order val="8"/>
          <c:tx>
            <c:v>P - F0.0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CGShiftStudy!$O$6:$O$7</c:f>
              <c:numCache>
                <c:formatCode>General</c:formatCode>
                <c:ptCount val="2"/>
                <c:pt idx="0">
                  <c:v>-2.9310899999999999E-3</c:v>
                </c:pt>
                <c:pt idx="1">
                  <c:v>-2.9310899999999999E-3</c:v>
                </c:pt>
              </c:numCache>
            </c:numRef>
          </c:xVal>
          <c:yVal>
            <c:numRef>
              <c:f>CGShiftStudy!$P$6:$P$7</c:f>
              <c:numCache>
                <c:formatCode>General</c:formatCode>
                <c:ptCount val="2"/>
                <c:pt idx="0">
                  <c:v>8.9027999999999996E-2</c:v>
                </c:pt>
                <c:pt idx="1">
                  <c:v>-8.9027999999999996E-2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649-4798-B12E-1AED0CD206D5}"/>
            </c:ext>
          </c:extLst>
        </c:ser>
        <c:ser>
          <c:idx val="16"/>
          <c:order val="9"/>
          <c:tx>
            <c:v>S - F0.75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CGShiftStudy!$E$9</c:f>
              <c:numCache>
                <c:formatCode>General</c:formatCode>
                <c:ptCount val="1"/>
                <c:pt idx="0">
                  <c:v>2.9268800000000002E-3</c:v>
                </c:pt>
              </c:numCache>
            </c:numRef>
          </c:xVal>
          <c:yVal>
            <c:numRef>
              <c:f>CGShiftStudy!$F$9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649-4798-B12E-1AED0CD206D5}"/>
            </c:ext>
          </c:extLst>
        </c:ser>
        <c:ser>
          <c:idx val="17"/>
          <c:order val="10"/>
          <c:tx>
            <c:v>S - F0.5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CGShiftStudy!$K$9</c:f>
              <c:numCache>
                <c:formatCode>General</c:formatCode>
                <c:ptCount val="1"/>
                <c:pt idx="0">
                  <c:v>2.5701500000000002E-3</c:v>
                </c:pt>
              </c:numCache>
            </c:numRef>
          </c:xVal>
          <c:yVal>
            <c:numRef>
              <c:f>CGShiftStudy!$L$9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649-4798-B12E-1AED0CD206D5}"/>
            </c:ext>
          </c:extLst>
        </c:ser>
        <c:ser>
          <c:idx val="18"/>
          <c:order val="11"/>
          <c:tx>
            <c:v>S - F0.25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CGShiftStudy!$M$9</c:f>
              <c:numCache>
                <c:formatCode>General</c:formatCode>
                <c:ptCount val="1"/>
                <c:pt idx="0">
                  <c:v>2.1997700000000002E-3</c:v>
                </c:pt>
              </c:numCache>
            </c:numRef>
          </c:xVal>
          <c:yVal>
            <c:numRef>
              <c:f>CGShiftStudy!$N$9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649-4798-B12E-1AED0CD206D5}"/>
            </c:ext>
          </c:extLst>
        </c:ser>
        <c:ser>
          <c:idx val="19"/>
          <c:order val="12"/>
          <c:tx>
            <c:v>S - F0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CGShiftStudy!$O$9</c:f>
              <c:numCache>
                <c:formatCode>General</c:formatCode>
                <c:ptCount val="1"/>
                <c:pt idx="0">
                  <c:v>1.81431E-3</c:v>
                </c:pt>
              </c:numCache>
            </c:numRef>
          </c:xVal>
          <c:yVal>
            <c:numRef>
              <c:f>CGShiftStudy!$P$9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649-4798-B12E-1AED0CD206D5}"/>
            </c:ext>
          </c:extLst>
        </c:ser>
        <c:ser>
          <c:idx val="31"/>
          <c:order val="13"/>
          <c:tx>
            <c:v>P - B0.75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CGShiftStudy!$S$6:$S$7</c:f>
              <c:numCache>
                <c:formatCode>General</c:formatCode>
                <c:ptCount val="2"/>
                <c:pt idx="0">
                  <c:v>-1.50304E-4</c:v>
                </c:pt>
                <c:pt idx="1">
                  <c:v>-1.50304E-4</c:v>
                </c:pt>
              </c:numCache>
            </c:numRef>
          </c:xVal>
          <c:yVal>
            <c:numRef>
              <c:f>CGShiftStudy!$T$6:$T$7</c:f>
              <c:numCache>
                <c:formatCode>General</c:formatCode>
                <c:ptCount val="2"/>
                <c:pt idx="0">
                  <c:v>7.0073499999999997E-2</c:v>
                </c:pt>
                <c:pt idx="1">
                  <c:v>-7.0073499999999997E-2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649-4798-B12E-1AED0CD206D5}"/>
            </c:ext>
          </c:extLst>
        </c:ser>
        <c:ser>
          <c:idx val="32"/>
          <c:order val="14"/>
          <c:tx>
            <c:v>P - B0.5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CGShiftStudy!$U$6:$U$7</c:f>
              <c:numCache>
                <c:formatCode>General</c:formatCode>
                <c:ptCount val="2"/>
                <c:pt idx="0">
                  <c:v>-3.63665E-4</c:v>
                </c:pt>
                <c:pt idx="1">
                  <c:v>-3.63665E-4</c:v>
                </c:pt>
              </c:numCache>
            </c:numRef>
          </c:xVal>
          <c:yVal>
            <c:numRef>
              <c:f>CGShiftStudy!$V$6:$V$7</c:f>
              <c:numCache>
                <c:formatCode>General</c:formatCode>
                <c:ptCount val="2"/>
                <c:pt idx="0">
                  <c:v>6.1021800000000001E-2</c:v>
                </c:pt>
                <c:pt idx="1">
                  <c:v>-6.1021800000000001E-2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649-4798-B12E-1AED0CD206D5}"/>
            </c:ext>
          </c:extLst>
        </c:ser>
        <c:ser>
          <c:idx val="3"/>
          <c:order val="15"/>
          <c:tx>
            <c:v>P - B0.34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CGShiftStudy!$W$6:$W$7</c:f>
              <c:numCache>
                <c:formatCode>General</c:formatCode>
                <c:ptCount val="2"/>
                <c:pt idx="0">
                  <c:v>-3.6658400000000001E-3</c:v>
                </c:pt>
                <c:pt idx="1">
                  <c:v>-3.6658400000000001E-3</c:v>
                </c:pt>
              </c:numCache>
            </c:numRef>
          </c:xVal>
          <c:yVal>
            <c:numRef>
              <c:f>CGShiftStudy!$X$6:$X$7</c:f>
              <c:numCache>
                <c:formatCode>General</c:formatCode>
                <c:ptCount val="2"/>
                <c:pt idx="0">
                  <c:v>1.9248899999999999E-2</c:v>
                </c:pt>
                <c:pt idx="1">
                  <c:v>-1.9248899999999999E-2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57-4C78-B05C-17AC666F1C23}"/>
            </c:ext>
          </c:extLst>
        </c:ser>
        <c:ser>
          <c:idx val="4"/>
          <c:order val="16"/>
          <c:tx>
            <c:v>P - B0.33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CGShiftStudy!$Y$6:$Y$7</c:f>
              <c:numCache>
                <c:formatCode>General</c:formatCode>
                <c:ptCount val="2"/>
                <c:pt idx="0">
                  <c:v>-1.7781999999999999E-2</c:v>
                </c:pt>
                <c:pt idx="1">
                  <c:v>8.59357E-3</c:v>
                </c:pt>
              </c:numCache>
            </c:numRef>
          </c:xVal>
          <c:yVal>
            <c:numRef>
              <c:f>CGShiftStudy!$Z$6:$Z$7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57-4C78-B05C-17AC666F1C23}"/>
            </c:ext>
          </c:extLst>
        </c:ser>
        <c:ser>
          <c:idx val="33"/>
          <c:order val="17"/>
          <c:tx>
            <c:v>P - B0.25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CGShiftStudy!$AA$6:$AA$7</c:f>
              <c:numCache>
                <c:formatCode>General</c:formatCode>
                <c:ptCount val="2"/>
                <c:pt idx="0">
                  <c:v>-0.10731599999999999</c:v>
                </c:pt>
                <c:pt idx="1">
                  <c:v>-0.10731599999999999</c:v>
                </c:pt>
              </c:numCache>
            </c:numRef>
          </c:xVal>
          <c:yVal>
            <c:numRef>
              <c:f>CGShiftStudy!$AB$6:$AB$7</c:f>
              <c:numCache>
                <c:formatCode>General</c:formatCode>
                <c:ptCount val="2"/>
                <c:pt idx="0">
                  <c:v>0.110762</c:v>
                </c:pt>
                <c:pt idx="1">
                  <c:v>-0.110762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649-4798-B12E-1AED0CD206D5}"/>
            </c:ext>
          </c:extLst>
        </c:ser>
        <c:ser>
          <c:idx val="34"/>
          <c:order val="18"/>
          <c:tx>
            <c:v>P - B0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CGShiftStudy!$AC$6:$AC$7</c:f>
              <c:numCache>
                <c:formatCode>General</c:formatCode>
                <c:ptCount val="2"/>
                <c:pt idx="0">
                  <c:v>-4.4227299999999997E-3</c:v>
                </c:pt>
                <c:pt idx="1">
                  <c:v>-4.4227299999999997E-3</c:v>
                </c:pt>
              </c:numCache>
            </c:numRef>
          </c:xVal>
          <c:yVal>
            <c:numRef>
              <c:f>CGShiftStudy!$AD$6:$AD$7</c:f>
              <c:numCache>
                <c:formatCode>General</c:formatCode>
                <c:ptCount val="2"/>
                <c:pt idx="0">
                  <c:v>9.6576400000000007E-2</c:v>
                </c:pt>
                <c:pt idx="1">
                  <c:v>-9.6576400000000007E-2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649-4798-B12E-1AED0CD206D5}"/>
            </c:ext>
          </c:extLst>
        </c:ser>
        <c:ser>
          <c:idx val="41"/>
          <c:order val="19"/>
          <c:tx>
            <c:v>S - B0.75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CGShiftStudy!$S$9</c:f>
              <c:numCache>
                <c:formatCode>General</c:formatCode>
                <c:ptCount val="1"/>
                <c:pt idx="0">
                  <c:v>-2.2377399999999999E-2</c:v>
                </c:pt>
              </c:numCache>
            </c:numRef>
          </c:xVal>
          <c:yVal>
            <c:numRef>
              <c:f>CGShiftStudy!$T$9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649-4798-B12E-1AED0CD206D5}"/>
            </c:ext>
          </c:extLst>
        </c:ser>
        <c:ser>
          <c:idx val="42"/>
          <c:order val="20"/>
          <c:tx>
            <c:v>S - B0.5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CGShiftStudy!$U$9</c:f>
              <c:numCache>
                <c:formatCode>General</c:formatCode>
                <c:ptCount val="1"/>
                <c:pt idx="0">
                  <c:v>-3.57974E-2</c:v>
                </c:pt>
              </c:numCache>
            </c:numRef>
          </c:xVal>
          <c:yVal>
            <c:numRef>
              <c:f>CGShiftStudy!$V$9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649-4798-B12E-1AED0CD206D5}"/>
            </c:ext>
          </c:extLst>
        </c:ser>
        <c:ser>
          <c:idx val="43"/>
          <c:order val="21"/>
          <c:tx>
            <c:v>S - B0.25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CGShiftStudy!$AA$9</c:f>
              <c:numCache>
                <c:formatCode>General</c:formatCode>
                <c:ptCount val="1"/>
                <c:pt idx="0">
                  <c:v>-6.9354499999999999E-2</c:v>
                </c:pt>
              </c:numCache>
            </c:numRef>
          </c:xVal>
          <c:yVal>
            <c:numRef>
              <c:f>CGShiftStudy!$AB$9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649-4798-B12E-1AED0CD206D5}"/>
            </c:ext>
          </c:extLst>
        </c:ser>
        <c:ser>
          <c:idx val="44"/>
          <c:order val="22"/>
          <c:tx>
            <c:v>S - B0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CGShiftStudy!$AC$9</c:f>
              <c:numCache>
                <c:formatCode>General</c:formatCode>
                <c:ptCount val="1"/>
                <c:pt idx="0">
                  <c:v>-0.212311</c:v>
                </c:pt>
              </c:numCache>
            </c:numRef>
          </c:xVal>
          <c:yVal>
            <c:numRef>
              <c:f>CGShiftStudy!$AD$9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D649-4798-B12E-1AED0CD20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8238665470961745E-2"/>
          <c:y val="4.2093175853018375E-2"/>
          <c:w val="0.30679170594397148"/>
          <c:h val="5.8576427946506686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 Short Period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CGShiftStudy!$C$4:$C$5</c:f>
              <c:numCache>
                <c:formatCode>0.00</c:formatCode>
                <c:ptCount val="2"/>
                <c:pt idx="0">
                  <c:v>-0.99357499999999999</c:v>
                </c:pt>
                <c:pt idx="1">
                  <c:v>-0.99357499999999999</c:v>
                </c:pt>
              </c:numCache>
            </c:numRef>
          </c:xVal>
          <c:yVal>
            <c:numRef>
              <c:f>CGShiftStudy!$D$4:$D$5</c:f>
              <c:numCache>
                <c:formatCode>0.00</c:formatCode>
                <c:ptCount val="2"/>
                <c:pt idx="0">
                  <c:v>1.68804</c:v>
                </c:pt>
                <c:pt idx="1">
                  <c:v>-1.68804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E-4F39-B952-F8E76E738165}"/>
            </c:ext>
          </c:extLst>
        </c:ser>
        <c:ser>
          <c:idx val="25"/>
          <c:order val="1"/>
          <c:tx>
            <c:v>BIRE Short Period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CGShiftStudy!$Q$4:$Q$5</c:f>
              <c:numCache>
                <c:formatCode>General</c:formatCode>
                <c:ptCount val="2"/>
                <c:pt idx="0">
                  <c:v>-1.01705</c:v>
                </c:pt>
                <c:pt idx="1">
                  <c:v>-1.01705</c:v>
                </c:pt>
              </c:numCache>
            </c:numRef>
          </c:xVal>
          <c:yVal>
            <c:numRef>
              <c:f>CGShiftStudy!$R$4:$R$5</c:f>
              <c:numCache>
                <c:formatCode>General</c:formatCode>
                <c:ptCount val="2"/>
                <c:pt idx="0">
                  <c:v>2.0674399999999999</c:v>
                </c:pt>
                <c:pt idx="1">
                  <c:v>-2.0674399999999999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8E-4F39-B952-F8E76E738165}"/>
            </c:ext>
          </c:extLst>
        </c:ser>
        <c:ser>
          <c:idx val="10"/>
          <c:order val="2"/>
          <c:tx>
            <c:v>F16 Roll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CGShiftStudy!$C$8</c:f>
              <c:numCache>
                <c:formatCode>0.00</c:formatCode>
                <c:ptCount val="1"/>
                <c:pt idx="0">
                  <c:v>-3.0981200000000002</c:v>
                </c:pt>
              </c:numCache>
            </c:numRef>
          </c:xVal>
          <c:yVal>
            <c:numRef>
              <c:f>CGShiftStudy!$D$8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8E-4F39-B952-F8E76E738165}"/>
            </c:ext>
          </c:extLst>
        </c:ser>
        <c:ser>
          <c:idx val="35"/>
          <c:order val="3"/>
          <c:tx>
            <c:v>BIRE Roll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CGShiftStudy!$Q$8</c:f>
              <c:numCache>
                <c:formatCode>General</c:formatCode>
                <c:ptCount val="1"/>
                <c:pt idx="0">
                  <c:v>-3.0406</c:v>
                </c:pt>
              </c:numCache>
            </c:numRef>
          </c:xVal>
          <c:yVal>
            <c:numRef>
              <c:f>CGShiftStudy!$R$8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8E-4F39-B952-F8E76E738165}"/>
            </c:ext>
          </c:extLst>
        </c:ser>
        <c:ser>
          <c:idx val="20"/>
          <c:order val="4"/>
          <c:tx>
            <c:v>F16 Dutch Roll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CGShiftStudy!$C$10:$C$11</c:f>
              <c:numCache>
                <c:formatCode>0.00</c:formatCode>
                <c:ptCount val="2"/>
                <c:pt idx="0">
                  <c:v>-0.200875</c:v>
                </c:pt>
                <c:pt idx="1">
                  <c:v>-0.200875</c:v>
                </c:pt>
              </c:numCache>
            </c:numRef>
          </c:xVal>
          <c:yVal>
            <c:numRef>
              <c:f>CGShiftStudy!$D$10:$D$11</c:f>
              <c:numCache>
                <c:formatCode>0.00</c:formatCode>
                <c:ptCount val="2"/>
                <c:pt idx="0">
                  <c:v>3.5251100000000002</c:v>
                </c:pt>
                <c:pt idx="1">
                  <c:v>-3.5251100000000002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C8E-4F39-B952-F8E76E738165}"/>
            </c:ext>
          </c:extLst>
        </c:ser>
        <c:ser>
          <c:idx val="45"/>
          <c:order val="5"/>
          <c:tx>
            <c:v>BIRE Dutch Roll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CGShiftStudy!$Q$10:$Q$11</c:f>
              <c:numCache>
                <c:formatCode>General</c:formatCode>
                <c:ptCount val="2"/>
                <c:pt idx="0">
                  <c:v>-3.7906099999999998E-2</c:v>
                </c:pt>
                <c:pt idx="1">
                  <c:v>-3.7906099999999998E-2</c:v>
                </c:pt>
              </c:numCache>
            </c:numRef>
          </c:xVal>
          <c:yVal>
            <c:numRef>
              <c:f>CGShiftStudy!$R$10:$R$11</c:f>
              <c:numCache>
                <c:formatCode>General</c:formatCode>
                <c:ptCount val="2"/>
                <c:pt idx="0">
                  <c:v>0.88737299999999997</c:v>
                </c:pt>
                <c:pt idx="1">
                  <c:v>-0.88737299999999997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C8E-4F39-B952-F8E76E738165}"/>
            </c:ext>
          </c:extLst>
        </c:ser>
        <c:ser>
          <c:idx val="1"/>
          <c:order val="6"/>
          <c:tx>
            <c:v>SP - F0.75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CGShiftStudy!$E$4:$E$5</c:f>
              <c:numCache>
                <c:formatCode>General</c:formatCode>
                <c:ptCount val="2"/>
                <c:pt idx="0">
                  <c:v>-0.95175799999999999</c:v>
                </c:pt>
                <c:pt idx="1">
                  <c:v>-0.95175799999999999</c:v>
                </c:pt>
              </c:numCache>
            </c:numRef>
          </c:xVal>
          <c:yVal>
            <c:numRef>
              <c:f>CGShiftStudy!$F$4:$F$5</c:f>
              <c:numCache>
                <c:formatCode>General</c:formatCode>
                <c:ptCount val="2"/>
                <c:pt idx="0">
                  <c:v>1.1208400000000001</c:v>
                </c:pt>
                <c:pt idx="1">
                  <c:v>-1.1208400000000001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C8E-4F39-B952-F8E76E738165}"/>
            </c:ext>
          </c:extLst>
        </c:ser>
        <c:ser>
          <c:idx val="55"/>
          <c:order val="7"/>
          <c:tx>
            <c:v>SP - F0.56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CGShiftStudy!$G$4:$G$5</c:f>
              <c:numCache>
                <c:formatCode>General</c:formatCode>
                <c:ptCount val="2"/>
                <c:pt idx="0">
                  <c:v>-0.91718699999999997</c:v>
                </c:pt>
                <c:pt idx="1">
                  <c:v>-0.91718699999999997</c:v>
                </c:pt>
              </c:numCache>
            </c:numRef>
          </c:xVal>
          <c:yVal>
            <c:numRef>
              <c:f>CGShiftStudy!$H$4:$H$5</c:f>
              <c:numCache>
                <c:formatCode>General</c:formatCode>
                <c:ptCount val="2"/>
                <c:pt idx="0">
                  <c:v>0.20169899999999999</c:v>
                </c:pt>
                <c:pt idx="1">
                  <c:v>-0.20169899999999999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C8E-4F39-B952-F8E76E738165}"/>
            </c:ext>
          </c:extLst>
        </c:ser>
        <c:ser>
          <c:idx val="52"/>
          <c:order val="8"/>
          <c:tx>
            <c:v>SP - F0.55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CGShiftStudy!$I$4:$I$5</c:f>
              <c:numCache>
                <c:formatCode>General</c:formatCode>
                <c:ptCount val="2"/>
                <c:pt idx="0">
                  <c:v>-1.07</c:v>
                </c:pt>
                <c:pt idx="1">
                  <c:v>-0.75959600000000005</c:v>
                </c:pt>
              </c:numCache>
            </c:numRef>
          </c:xVal>
          <c:yVal>
            <c:numRef>
              <c:f>CGShiftStudy!$J$4:$J$5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C8E-4F39-B952-F8E76E738165}"/>
            </c:ext>
          </c:extLst>
        </c:ser>
        <c:ser>
          <c:idx val="2"/>
          <c:order val="9"/>
          <c:tx>
            <c:v>SP - F0.5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CGShiftStudy!$K$4:$K$5</c:f>
              <c:numCache>
                <c:formatCode>General</c:formatCode>
                <c:ptCount val="2"/>
                <c:pt idx="0">
                  <c:v>-1.49471</c:v>
                </c:pt>
                <c:pt idx="1">
                  <c:v>-0.294178</c:v>
                </c:pt>
              </c:numCache>
            </c:numRef>
          </c:xVal>
          <c:yVal>
            <c:numRef>
              <c:f>CGShiftStudy!$L$4:$L$5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C8E-4F39-B952-F8E76E738165}"/>
            </c:ext>
          </c:extLst>
        </c:ser>
        <c:ser>
          <c:idx val="3"/>
          <c:order val="10"/>
          <c:tx>
            <c:v>SP - F0.25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CGShiftStudy!$M$4:$M$5</c:f>
              <c:numCache>
                <c:formatCode>General</c:formatCode>
                <c:ptCount val="2"/>
                <c:pt idx="0">
                  <c:v>-2.2618499999999999</c:v>
                </c:pt>
                <c:pt idx="1">
                  <c:v>0.53601100000000002</c:v>
                </c:pt>
              </c:numCache>
            </c:numRef>
          </c:xVal>
          <c:yVal>
            <c:numRef>
              <c:f>CGShiftStudy!$N$4:$N$5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C8E-4F39-B952-F8E76E738165}"/>
            </c:ext>
          </c:extLst>
        </c:ser>
        <c:ser>
          <c:idx val="4"/>
          <c:order val="11"/>
          <c:tx>
            <c:v>SP - F0.0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CGShiftStudy!$O$4:$O$5</c:f>
              <c:numCache>
                <c:formatCode>General</c:formatCode>
                <c:ptCount val="2"/>
                <c:pt idx="0">
                  <c:v>-2.7095899999999999</c:v>
                </c:pt>
                <c:pt idx="1">
                  <c:v>1.05992</c:v>
                </c:pt>
              </c:numCache>
            </c:numRef>
          </c:xVal>
          <c:yVal>
            <c:numRef>
              <c:f>CGShiftStudy!$P$4:$P$5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C8E-4F39-B952-F8E76E738165}"/>
            </c:ext>
          </c:extLst>
        </c:ser>
        <c:ser>
          <c:idx val="11"/>
          <c:order val="12"/>
          <c:tx>
            <c:v>R - F0.75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CGShiftStudy!$E$8</c:f>
              <c:numCache>
                <c:formatCode>General</c:formatCode>
                <c:ptCount val="1"/>
                <c:pt idx="0">
                  <c:v>-3.09972</c:v>
                </c:pt>
              </c:numCache>
            </c:numRef>
          </c:xVal>
          <c:yVal>
            <c:numRef>
              <c:f>CGShiftStudy!$F$8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C8E-4F39-B952-F8E76E738165}"/>
            </c:ext>
          </c:extLst>
        </c:ser>
        <c:ser>
          <c:idx val="12"/>
          <c:order val="13"/>
          <c:tx>
            <c:v>R - F0.5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CGShiftStudy!$K$8</c:f>
              <c:numCache>
                <c:formatCode>General</c:formatCode>
                <c:ptCount val="1"/>
                <c:pt idx="0">
                  <c:v>-3.1013799999999998</c:v>
                </c:pt>
              </c:numCache>
            </c:numRef>
          </c:xVal>
          <c:yVal>
            <c:numRef>
              <c:f>CGShiftStudy!$L$8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C8E-4F39-B952-F8E76E738165}"/>
            </c:ext>
          </c:extLst>
        </c:ser>
        <c:ser>
          <c:idx val="13"/>
          <c:order val="14"/>
          <c:tx>
            <c:v>R - F0.25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CGShiftStudy!$M$8</c:f>
              <c:numCache>
                <c:formatCode>General</c:formatCode>
                <c:ptCount val="1"/>
                <c:pt idx="0">
                  <c:v>-3.1031200000000001</c:v>
                </c:pt>
              </c:numCache>
            </c:numRef>
          </c:xVal>
          <c:yVal>
            <c:numRef>
              <c:f>CGShiftStudy!$N$8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C8E-4F39-B952-F8E76E738165}"/>
            </c:ext>
          </c:extLst>
        </c:ser>
        <c:ser>
          <c:idx val="14"/>
          <c:order val="15"/>
          <c:tx>
            <c:v>R - F0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CGShiftStudy!$O$8</c:f>
              <c:numCache>
                <c:formatCode>General</c:formatCode>
                <c:ptCount val="1"/>
                <c:pt idx="0">
                  <c:v>-3.10493</c:v>
                </c:pt>
              </c:numCache>
            </c:numRef>
          </c:xVal>
          <c:yVal>
            <c:numRef>
              <c:f>CGShiftStudy!$P$8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C8E-4F39-B952-F8E76E738165}"/>
            </c:ext>
          </c:extLst>
        </c:ser>
        <c:ser>
          <c:idx val="21"/>
          <c:order val="16"/>
          <c:tx>
            <c:v>DR - F0.75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CGShiftStudy!$E$10:$E$11</c:f>
              <c:numCache>
                <c:formatCode>General</c:formatCode>
                <c:ptCount val="2"/>
                <c:pt idx="0">
                  <c:v>-0.19748099999999999</c:v>
                </c:pt>
                <c:pt idx="1">
                  <c:v>-0.19748099999999999</c:v>
                </c:pt>
              </c:numCache>
            </c:numRef>
          </c:xVal>
          <c:yVal>
            <c:numRef>
              <c:f>CGShiftStudy!$F$10:$F$11</c:f>
              <c:numCache>
                <c:formatCode>General</c:formatCode>
                <c:ptCount val="2"/>
                <c:pt idx="0">
                  <c:v>3.46523</c:v>
                </c:pt>
                <c:pt idx="1">
                  <c:v>-3.46523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C8E-4F39-B952-F8E76E738165}"/>
            </c:ext>
          </c:extLst>
        </c:ser>
        <c:ser>
          <c:idx val="22"/>
          <c:order val="17"/>
          <c:tx>
            <c:v>DR - F0.5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CGShiftStudy!$K$10:$K$11</c:f>
              <c:numCache>
                <c:formatCode>General</c:formatCode>
                <c:ptCount val="2"/>
                <c:pt idx="0">
                  <c:v>-0.19404399999999999</c:v>
                </c:pt>
                <c:pt idx="1">
                  <c:v>-0.19404399999999999</c:v>
                </c:pt>
              </c:numCache>
            </c:numRef>
          </c:xVal>
          <c:yVal>
            <c:numRef>
              <c:f>CGShiftStudy!$L$10:$L$11</c:f>
              <c:numCache>
                <c:formatCode>General</c:formatCode>
                <c:ptCount val="2"/>
                <c:pt idx="0">
                  <c:v>3.40435</c:v>
                </c:pt>
                <c:pt idx="1">
                  <c:v>-3.40435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C8E-4F39-B952-F8E76E738165}"/>
            </c:ext>
          </c:extLst>
        </c:ser>
        <c:ser>
          <c:idx val="23"/>
          <c:order val="18"/>
          <c:tx>
            <c:v>DR - F0.25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CGShiftStudy!$M$10:$M$11</c:f>
              <c:numCache>
                <c:formatCode>General</c:formatCode>
                <c:ptCount val="2"/>
                <c:pt idx="0">
                  <c:v>-0.19055900000000001</c:v>
                </c:pt>
                <c:pt idx="1">
                  <c:v>-0.19055900000000001</c:v>
                </c:pt>
              </c:numCache>
            </c:numRef>
          </c:xVal>
          <c:yVal>
            <c:numRef>
              <c:f>CGShiftStudy!$N$10:$N$11</c:f>
              <c:numCache>
                <c:formatCode>General</c:formatCode>
                <c:ptCount val="2"/>
                <c:pt idx="0">
                  <c:v>3.3424399999999999</c:v>
                </c:pt>
                <c:pt idx="1">
                  <c:v>-3.3424399999999999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C8E-4F39-B952-F8E76E738165}"/>
            </c:ext>
          </c:extLst>
        </c:ser>
        <c:ser>
          <c:idx val="24"/>
          <c:order val="19"/>
          <c:tx>
            <c:v>DR - F0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CGShiftStudy!$O$10:$O$11</c:f>
              <c:numCache>
                <c:formatCode>General</c:formatCode>
                <c:ptCount val="2"/>
                <c:pt idx="0">
                  <c:v>-0.187024</c:v>
                </c:pt>
                <c:pt idx="1">
                  <c:v>-0.187024</c:v>
                </c:pt>
              </c:numCache>
            </c:numRef>
          </c:xVal>
          <c:yVal>
            <c:numRef>
              <c:f>CGShiftStudy!$P$10:$P$11</c:f>
              <c:numCache>
                <c:formatCode>General</c:formatCode>
                <c:ptCount val="2"/>
                <c:pt idx="0">
                  <c:v>3.27942</c:v>
                </c:pt>
                <c:pt idx="1">
                  <c:v>-3.27942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C8E-4F39-B952-F8E76E738165}"/>
            </c:ext>
          </c:extLst>
        </c:ser>
        <c:ser>
          <c:idx val="26"/>
          <c:order val="20"/>
          <c:tx>
            <c:v>SP - B0.75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CGShiftStudy!$S$4:$S$5</c:f>
              <c:numCache>
                <c:formatCode>General</c:formatCode>
                <c:ptCount val="2"/>
                <c:pt idx="0">
                  <c:v>-0.975101</c:v>
                </c:pt>
                <c:pt idx="1">
                  <c:v>-0.975101</c:v>
                </c:pt>
              </c:numCache>
            </c:numRef>
          </c:xVal>
          <c:yVal>
            <c:numRef>
              <c:f>CGShiftStudy!$T$4:$T$5</c:f>
              <c:numCache>
                <c:formatCode>General</c:formatCode>
                <c:ptCount val="2"/>
                <c:pt idx="0">
                  <c:v>1.63019</c:v>
                </c:pt>
                <c:pt idx="1">
                  <c:v>-1.63019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C8E-4F39-B952-F8E76E738165}"/>
            </c:ext>
          </c:extLst>
        </c:ser>
        <c:ser>
          <c:idx val="27"/>
          <c:order val="21"/>
          <c:tx>
            <c:v>SP - B0.5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CGShiftStudy!$U$4:$U$5</c:f>
              <c:numCache>
                <c:formatCode>General</c:formatCode>
                <c:ptCount val="2"/>
                <c:pt idx="0">
                  <c:v>-0.93293400000000004</c:v>
                </c:pt>
                <c:pt idx="1">
                  <c:v>-0.93293400000000004</c:v>
                </c:pt>
              </c:numCache>
            </c:numRef>
          </c:xVal>
          <c:yVal>
            <c:numRef>
              <c:f>CGShiftStudy!$V$4:$V$5</c:f>
              <c:numCache>
                <c:formatCode>General</c:formatCode>
                <c:ptCount val="2"/>
                <c:pt idx="0">
                  <c:v>1.0186999999999999</c:v>
                </c:pt>
                <c:pt idx="1">
                  <c:v>-1.0186999999999999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C8E-4F39-B952-F8E76E738165}"/>
            </c:ext>
          </c:extLst>
        </c:ser>
        <c:ser>
          <c:idx val="56"/>
          <c:order val="22"/>
          <c:tx>
            <c:v>SP - B0.34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CGShiftStudy!$W$4:$W$5</c:f>
              <c:numCache>
                <c:formatCode>General</c:formatCode>
                <c:ptCount val="2"/>
                <c:pt idx="0">
                  <c:v>-0.964256</c:v>
                </c:pt>
                <c:pt idx="1">
                  <c:v>-0.84131400000000001</c:v>
                </c:pt>
              </c:numCache>
            </c:numRef>
          </c:xVal>
          <c:yVal>
            <c:numRef>
              <c:f>CGShiftStudy!$X$4:$X$5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C8E-4F39-B952-F8E76E738165}"/>
            </c:ext>
          </c:extLst>
        </c:ser>
        <c:ser>
          <c:idx val="54"/>
          <c:order val="23"/>
          <c:tx>
            <c:v>SP - B0.33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CGShiftStudy!$Y$4:$Y$5</c:f>
              <c:numCache>
                <c:formatCode>General</c:formatCode>
                <c:ptCount val="2"/>
                <c:pt idx="0">
                  <c:v>-1.1645000000000001</c:v>
                </c:pt>
                <c:pt idx="1">
                  <c:v>-0.63585499999999995</c:v>
                </c:pt>
              </c:numCache>
            </c:numRef>
          </c:xVal>
          <c:yVal>
            <c:numRef>
              <c:f>CGShiftStudy!$Z$4:$Z$5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C8E-4F39-B952-F8E76E738165}"/>
            </c:ext>
          </c:extLst>
        </c:ser>
        <c:ser>
          <c:idx val="28"/>
          <c:order val="24"/>
          <c:tx>
            <c:v>SP - B0.25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CGShiftStudy!$AA$4:$AA$5</c:f>
              <c:numCache>
                <c:formatCode>General</c:formatCode>
                <c:ptCount val="2"/>
                <c:pt idx="0">
                  <c:v>-1.65716</c:v>
                </c:pt>
                <c:pt idx="1">
                  <c:v>8.9075600000000005E-2</c:v>
                </c:pt>
              </c:numCache>
            </c:numRef>
          </c:xVal>
          <c:yVal>
            <c:numRef>
              <c:f>CGShiftStudy!$AB$4:$AB$5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C8E-4F39-B952-F8E76E738165}"/>
            </c:ext>
          </c:extLst>
        </c:ser>
        <c:ser>
          <c:idx val="29"/>
          <c:order val="25"/>
          <c:tx>
            <c:v>SP - B0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CGShiftStudy!$AC$4:$AC$5</c:f>
              <c:numCache>
                <c:formatCode>General</c:formatCode>
                <c:ptCount val="2"/>
                <c:pt idx="0">
                  <c:v>-2.3369499999999999</c:v>
                </c:pt>
                <c:pt idx="1">
                  <c:v>0.64694600000000002</c:v>
                </c:pt>
              </c:numCache>
            </c:numRef>
          </c:xVal>
          <c:yVal>
            <c:numRef>
              <c:f>CGShiftStudy!$AD$4:$AD$5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C8E-4F39-B952-F8E76E738165}"/>
            </c:ext>
          </c:extLst>
        </c:ser>
        <c:ser>
          <c:idx val="36"/>
          <c:order val="26"/>
          <c:tx>
            <c:v>R - B0.75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CGShiftStudy!$S$8</c:f>
              <c:numCache>
                <c:formatCode>General</c:formatCode>
                <c:ptCount val="1"/>
                <c:pt idx="0">
                  <c:v>-3.0425499999999999</c:v>
                </c:pt>
              </c:numCache>
            </c:numRef>
          </c:xVal>
          <c:yVal>
            <c:numRef>
              <c:f>CGShiftStudy!$T$8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C8E-4F39-B952-F8E76E738165}"/>
            </c:ext>
          </c:extLst>
        </c:ser>
        <c:ser>
          <c:idx val="37"/>
          <c:order val="27"/>
          <c:tx>
            <c:v>R - B0.5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CGShiftStudy!$U$8</c:f>
              <c:numCache>
                <c:formatCode>General</c:formatCode>
                <c:ptCount val="1"/>
                <c:pt idx="0">
                  <c:v>-3.0445700000000002</c:v>
                </c:pt>
              </c:numCache>
            </c:numRef>
          </c:xVal>
          <c:yVal>
            <c:numRef>
              <c:f>CGShiftStudy!$V$8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C8E-4F39-B952-F8E76E738165}"/>
            </c:ext>
          </c:extLst>
        </c:ser>
        <c:ser>
          <c:idx val="38"/>
          <c:order val="28"/>
          <c:tx>
            <c:v>R - B0.25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CGShiftStudy!$AA$8</c:f>
              <c:numCache>
                <c:formatCode>General</c:formatCode>
                <c:ptCount val="1"/>
                <c:pt idx="0">
                  <c:v>-3.0466500000000001</c:v>
                </c:pt>
              </c:numCache>
            </c:numRef>
          </c:xVal>
          <c:yVal>
            <c:numRef>
              <c:f>CGShiftStudy!$AB$8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C8E-4F39-B952-F8E76E738165}"/>
            </c:ext>
          </c:extLst>
        </c:ser>
        <c:ser>
          <c:idx val="39"/>
          <c:order val="29"/>
          <c:tx>
            <c:v>R - B0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CGShiftStudy!$AC$8</c:f>
              <c:numCache>
                <c:formatCode>General</c:formatCode>
                <c:ptCount val="1"/>
                <c:pt idx="0">
                  <c:v>-3.0487899999999999</c:v>
                </c:pt>
              </c:numCache>
            </c:numRef>
          </c:xVal>
          <c:yVal>
            <c:numRef>
              <c:f>CGShiftStudy!$AD$8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C8E-4F39-B952-F8E76E738165}"/>
            </c:ext>
          </c:extLst>
        </c:ser>
        <c:ser>
          <c:idx val="46"/>
          <c:order val="30"/>
          <c:tx>
            <c:v>DR - B0.75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CGShiftStudy!$S$10:$S$11</c:f>
              <c:numCache>
                <c:formatCode>General</c:formatCode>
                <c:ptCount val="2"/>
                <c:pt idx="0">
                  <c:v>-3.2697299999999999E-2</c:v>
                </c:pt>
                <c:pt idx="1">
                  <c:v>-3.2697299999999999E-2</c:v>
                </c:pt>
              </c:numCache>
            </c:numRef>
          </c:xVal>
          <c:yVal>
            <c:numRef>
              <c:f>CGShiftStudy!$T$10:$T$11</c:f>
              <c:numCache>
                <c:formatCode>General</c:formatCode>
                <c:ptCount val="2"/>
                <c:pt idx="0">
                  <c:v>0.77672200000000002</c:v>
                </c:pt>
                <c:pt idx="1">
                  <c:v>-0.77672200000000002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C8E-4F39-B952-F8E76E738165}"/>
            </c:ext>
          </c:extLst>
        </c:ser>
        <c:ser>
          <c:idx val="47"/>
          <c:order val="31"/>
          <c:tx>
            <c:v>DR - B0.5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CGShiftStudy!$U$10:$U$11</c:f>
              <c:numCache>
                <c:formatCode>General</c:formatCode>
                <c:ptCount val="2"/>
                <c:pt idx="0">
                  <c:v>-2.43722E-2</c:v>
                </c:pt>
                <c:pt idx="1">
                  <c:v>-2.43722E-2</c:v>
                </c:pt>
              </c:numCache>
            </c:numRef>
          </c:xVal>
          <c:yVal>
            <c:numRef>
              <c:f>CGShiftStudy!$V$10:$V$11</c:f>
              <c:numCache>
                <c:formatCode>General</c:formatCode>
                <c:ptCount val="2"/>
                <c:pt idx="0">
                  <c:v>0.64785300000000001</c:v>
                </c:pt>
                <c:pt idx="1">
                  <c:v>-0.64785300000000001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C8E-4F39-B952-F8E76E738165}"/>
            </c:ext>
          </c:extLst>
        </c:ser>
        <c:ser>
          <c:idx val="48"/>
          <c:order val="32"/>
          <c:tx>
            <c:v>DR - B0.25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CGShiftStudy!$AA$10:$AA$11</c:f>
              <c:numCache>
                <c:formatCode>General</c:formatCode>
                <c:ptCount val="2"/>
                <c:pt idx="0">
                  <c:v>-5.9391499999999998E-3</c:v>
                </c:pt>
                <c:pt idx="1">
                  <c:v>-5.9391499999999998E-3</c:v>
                </c:pt>
              </c:numCache>
            </c:numRef>
          </c:xVal>
          <c:yVal>
            <c:numRef>
              <c:f>CGShiftStudy!$AB$10:$AB$11</c:f>
              <c:numCache>
                <c:formatCode>General</c:formatCode>
                <c:ptCount val="2"/>
                <c:pt idx="0">
                  <c:v>0.48765700000000001</c:v>
                </c:pt>
                <c:pt idx="1">
                  <c:v>-0.48765700000000001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C8E-4F39-B952-F8E76E738165}"/>
            </c:ext>
          </c:extLst>
        </c:ser>
        <c:ser>
          <c:idx val="49"/>
          <c:order val="33"/>
          <c:tx>
            <c:v>DR - B0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CGShiftStudy!$AC$10:$AC$11</c:f>
              <c:numCache>
                <c:formatCode>General</c:formatCode>
                <c:ptCount val="2"/>
                <c:pt idx="0">
                  <c:v>6.7227700000000001E-2</c:v>
                </c:pt>
                <c:pt idx="1">
                  <c:v>6.7227700000000001E-2</c:v>
                </c:pt>
              </c:numCache>
            </c:numRef>
          </c:xVal>
          <c:yVal>
            <c:numRef>
              <c:f>CGShiftStudy!$AD$10:$AD$11</c:f>
              <c:numCache>
                <c:formatCode>General</c:formatCode>
                <c:ptCount val="2"/>
                <c:pt idx="0">
                  <c:v>0.282279</c:v>
                </c:pt>
                <c:pt idx="1">
                  <c:v>-0.282279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C8E-4F39-B952-F8E76E73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6852524803211784E-2"/>
          <c:y val="3.6140794900637416E-2"/>
          <c:w val="0.36688932633420829"/>
          <c:h val="9.1559492563429573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 - Sp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2'!$D$4:$D$5</c:f>
              <c:numCache>
                <c:formatCode>0.00</c:formatCode>
                <c:ptCount val="2"/>
                <c:pt idx="0">
                  <c:v>-0.92402099999999998</c:v>
                </c:pt>
                <c:pt idx="1">
                  <c:v>-0.92402099999999998</c:v>
                </c:pt>
              </c:numCache>
            </c:numRef>
          </c:xVal>
          <c:yVal>
            <c:numRef>
              <c:f>'CGShiftStudy 2'!$E$4:$E$5</c:f>
              <c:numCache>
                <c:formatCode>0.00</c:formatCode>
                <c:ptCount val="2"/>
                <c:pt idx="0">
                  <c:v>2.1114099999999998</c:v>
                </c:pt>
                <c:pt idx="1">
                  <c:v>-2.1114099999999998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D-4A2E-9D99-20F5FDE85C1A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50D-4A2E-9D99-20F5FDE85C1A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50D-4A2E-9D99-20F5FDE85C1A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50D-4A2E-9D99-20F5FDE85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6852524803211784E-2"/>
          <c:y val="3.6140794900637416E-2"/>
          <c:w val="0.15621212163957826"/>
          <c:h val="0.1133848893888263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2'!$Y$30:$Y$38</c:f>
              <c:numCache>
                <c:formatCode>General</c:formatCode>
                <c:ptCount val="9"/>
                <c:pt idx="0">
                  <c:v>0.3</c:v>
                </c:pt>
                <c:pt idx="1">
                  <c:v>0.31</c:v>
                </c:pt>
                <c:pt idx="2">
                  <c:v>0.32</c:v>
                </c:pt>
                <c:pt idx="3">
                  <c:v>0.33</c:v>
                </c:pt>
                <c:pt idx="4">
                  <c:v>0.34</c:v>
                </c:pt>
                <c:pt idx="5">
                  <c:v>0.35</c:v>
                </c:pt>
                <c:pt idx="6">
                  <c:v>0.36</c:v>
                </c:pt>
                <c:pt idx="7">
                  <c:v>0.37</c:v>
                </c:pt>
                <c:pt idx="8">
                  <c:v>0.38</c:v>
                </c:pt>
              </c:numCache>
            </c:numRef>
          </c:xVal>
          <c:yVal>
            <c:numRef>
              <c:f>'CGShiftStudy 2'!$Z$30:$Z$38</c:f>
              <c:numCache>
                <c:formatCode>General</c:formatCode>
                <c:ptCount val="9"/>
                <c:pt idx="0">
                  <c:v>-7.2098400000000007E-2</c:v>
                </c:pt>
                <c:pt idx="1">
                  <c:v>-8.4111599999999995E-2</c:v>
                </c:pt>
                <c:pt idx="2">
                  <c:v>-0.100359</c:v>
                </c:pt>
                <c:pt idx="3">
                  <c:v>-0.12343999999999999</c:v>
                </c:pt>
                <c:pt idx="4">
                  <c:v>0.15257999999999999</c:v>
                </c:pt>
                <c:pt idx="5">
                  <c:v>0.13098199999999999</c:v>
                </c:pt>
                <c:pt idx="6">
                  <c:v>0.113082</c:v>
                </c:pt>
                <c:pt idx="7">
                  <c:v>9.8368200000000003E-2</c:v>
                </c:pt>
                <c:pt idx="8">
                  <c:v>8.6286399999999999E-2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1-4448-84ED-D8A106051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0.38000000000000006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CG-shift in </a:t>
                </a:r>
                <a:r>
                  <a:rPr lang="en-US" sz="1400" i="1">
                    <a:solidFill>
                      <a:sysClr val="windowText" lastClr="000000"/>
                    </a:solidFill>
                  </a:rPr>
                  <a:t>x</a:t>
                </a:r>
                <a:r>
                  <a:rPr lang="en-US" sz="1400" i="0">
                    <a:solidFill>
                      <a:sysClr val="windowText" lastClr="000000"/>
                    </a:solidFill>
                  </a:rPr>
                  <a:t>-direction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253065957224707"/>
              <c:y val="0.95555414948131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Spiral Mode Eigenvalue Real Component</a:t>
                </a:r>
              </a:p>
            </c:rich>
          </c:tx>
          <c:layout>
            <c:manualLayout>
              <c:xMode val="edge"/>
              <c:yMode val="edge"/>
              <c:x val="1.231314376638069E-2"/>
              <c:y val="0.278655324334458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2'!$D$6:$D$7</c:f>
              <c:numCache>
                <c:formatCode>0.00</c:formatCode>
                <c:ptCount val="2"/>
                <c:pt idx="0">
                  <c:v>-5.34911E-4</c:v>
                </c:pt>
                <c:pt idx="1">
                  <c:v>-5.34911E-4</c:v>
                </c:pt>
              </c:numCache>
            </c:numRef>
          </c:xVal>
          <c:yVal>
            <c:numRef>
              <c:f>'CGShiftStudy 2'!$E$6:$E$7</c:f>
              <c:numCache>
                <c:formatCode>0.00</c:formatCode>
                <c:ptCount val="2"/>
                <c:pt idx="0">
                  <c:v>7.4675500000000006E-2</c:v>
                </c:pt>
                <c:pt idx="1">
                  <c:v>-7.4675500000000006E-2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C6-446A-AE41-F7227C177811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2'!$D$17:$D$18</c:f>
              <c:numCache>
                <c:formatCode>General</c:formatCode>
                <c:ptCount val="2"/>
                <c:pt idx="0">
                  <c:v>5.6125000000000003E-3</c:v>
                </c:pt>
                <c:pt idx="1">
                  <c:v>5.6125000000000003E-3</c:v>
                </c:pt>
              </c:numCache>
            </c:numRef>
          </c:xVal>
          <c:yVal>
            <c:numRef>
              <c:f>'CGShiftStudy 2'!$E$17:$E$18</c:f>
              <c:numCache>
                <c:formatCode>General</c:formatCode>
                <c:ptCount val="2"/>
                <c:pt idx="0">
                  <c:v>0.116245</c:v>
                </c:pt>
                <c:pt idx="1">
                  <c:v>-0.116245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C6-446A-AE41-F7227C17781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2'!$T$6:$T$7</c:f>
              <c:numCache>
                <c:formatCode>General</c:formatCode>
                <c:ptCount val="2"/>
                <c:pt idx="0">
                  <c:v>2.6493099999999999E-4</c:v>
                </c:pt>
                <c:pt idx="1">
                  <c:v>2.6493099999999999E-4</c:v>
                </c:pt>
              </c:numCache>
            </c:numRef>
          </c:xVal>
          <c:yVal>
            <c:numRef>
              <c:f>'CGShiftStudy 2'!$U$6:$U$7</c:f>
              <c:numCache>
                <c:formatCode>General</c:formatCode>
                <c:ptCount val="2"/>
                <c:pt idx="0">
                  <c:v>7.3971899999999993E-2</c:v>
                </c:pt>
                <c:pt idx="1">
                  <c:v>-7.3971899999999993E-2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C6-446A-AE41-F7227C17781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2'!$T$17:$T$18</c:f>
              <c:numCache>
                <c:formatCode>General</c:formatCode>
                <c:ptCount val="2"/>
                <c:pt idx="0">
                  <c:v>7.5309499999999996E-4</c:v>
                </c:pt>
                <c:pt idx="1">
                  <c:v>7.5309499999999996E-4</c:v>
                </c:pt>
              </c:numCache>
            </c:numRef>
          </c:xVal>
          <c:yVal>
            <c:numRef>
              <c:f>'CGShiftStudy 2'!$U$17:$U$18</c:f>
              <c:numCache>
                <c:formatCode>General</c:formatCode>
                <c:ptCount val="2"/>
                <c:pt idx="0">
                  <c:v>0.112305</c:v>
                </c:pt>
                <c:pt idx="1">
                  <c:v>-0.112305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C6-446A-AE41-F7227C17781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2'!$F$6:$F$7</c:f>
              <c:numCache>
                <c:formatCode>General</c:formatCode>
                <c:ptCount val="2"/>
                <c:pt idx="0">
                  <c:v>-5.6762499999999999E-4</c:v>
                </c:pt>
                <c:pt idx="1">
                  <c:v>-5.6762499999999999E-4</c:v>
                </c:pt>
              </c:numCache>
            </c:numRef>
          </c:xVal>
          <c:yVal>
            <c:numRef>
              <c:f>'CGShiftStudy 2'!$G$6:$G$7</c:f>
              <c:numCache>
                <c:formatCode>General</c:formatCode>
                <c:ptCount val="2"/>
                <c:pt idx="0">
                  <c:v>7.3352100000000003E-2</c:v>
                </c:pt>
                <c:pt idx="1">
                  <c:v>-7.3352100000000003E-2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C6-446A-AE41-F7227C17781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2'!$H$6:$H$7</c:f>
              <c:numCache>
                <c:formatCode>General</c:formatCode>
                <c:ptCount val="2"/>
                <c:pt idx="0">
                  <c:v>-6.1798500000000004E-4</c:v>
                </c:pt>
                <c:pt idx="1">
                  <c:v>-6.1798500000000004E-4</c:v>
                </c:pt>
              </c:numCache>
            </c:numRef>
          </c:xVal>
          <c:yVal>
            <c:numRef>
              <c:f>'CGShiftStudy 2'!$I$6:$I$7</c:f>
              <c:numCache>
                <c:formatCode>General</c:formatCode>
                <c:ptCount val="2"/>
                <c:pt idx="0">
                  <c:v>7.0826299999999995E-2</c:v>
                </c:pt>
                <c:pt idx="1">
                  <c:v>-7.0826299999999995E-2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C6-446A-AE41-F7227C177811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2'!$J$6:$J$7</c:f>
              <c:numCache>
                <c:formatCode>General</c:formatCode>
                <c:ptCount val="2"/>
                <c:pt idx="0">
                  <c:v>-8.9349899999999996E-4</c:v>
                </c:pt>
                <c:pt idx="1">
                  <c:v>-8.9349899999999996E-4</c:v>
                </c:pt>
              </c:numCache>
            </c:numRef>
          </c:xVal>
          <c:yVal>
            <c:numRef>
              <c:f>'CGShiftStudy 2'!$K$6:$K$7</c:f>
              <c:numCache>
                <c:formatCode>General</c:formatCode>
                <c:ptCount val="2"/>
                <c:pt idx="0">
                  <c:v>6.4103999999999994E-2</c:v>
                </c:pt>
                <c:pt idx="1">
                  <c:v>-6.4103999999999994E-2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7C6-446A-AE41-F7227C177811}"/>
            </c:ext>
          </c:extLst>
        </c:ser>
        <c:ser>
          <c:idx val="9"/>
          <c:order val="7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2'!$L$6:$L$7</c:f>
              <c:numCache>
                <c:formatCode>General</c:formatCode>
                <c:ptCount val="2"/>
                <c:pt idx="0">
                  <c:v>-5.4738699999999996E-3</c:v>
                </c:pt>
                <c:pt idx="1">
                  <c:v>-5.4738699999999996E-3</c:v>
                </c:pt>
              </c:numCache>
            </c:numRef>
          </c:xVal>
          <c:yVal>
            <c:numRef>
              <c:f>'CGShiftStudy 2'!$M$6:$M$7</c:f>
              <c:numCache>
                <c:formatCode>General</c:formatCode>
                <c:ptCount val="2"/>
                <c:pt idx="0">
                  <c:v>2.0823600000000001E-2</c:v>
                </c:pt>
                <c:pt idx="1">
                  <c:v>-2.0823600000000001E-2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7C6-446A-AE41-F7227C177811}"/>
            </c:ext>
          </c:extLst>
        </c:ser>
        <c:ser>
          <c:idx val="7"/>
          <c:order val="8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2'!$N$6:$N$7</c:f>
              <c:numCache>
                <c:formatCode>General</c:formatCode>
                <c:ptCount val="2"/>
                <c:pt idx="0">
                  <c:v>-6.1807899999999999E-2</c:v>
                </c:pt>
                <c:pt idx="1">
                  <c:v>3.5890900000000003E-2</c:v>
                </c:pt>
              </c:numCache>
            </c:numRef>
          </c:xVal>
          <c:yVal>
            <c:numRef>
              <c:f>'CGShiftStudy 2'!$O$6:$O$7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7C6-446A-AE41-F7227C177811}"/>
            </c:ext>
          </c:extLst>
        </c:ser>
        <c:ser>
          <c:idx val="8"/>
          <c:order val="9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2'!$P$6:$P$7</c:f>
              <c:numCache>
                <c:formatCode>General</c:formatCode>
                <c:ptCount val="2"/>
                <c:pt idx="0">
                  <c:v>-6.8859500000000001E-3</c:v>
                </c:pt>
                <c:pt idx="1">
                  <c:v>-6.8859500000000001E-3</c:v>
                </c:pt>
              </c:numCache>
            </c:numRef>
          </c:xVal>
          <c:yVal>
            <c:numRef>
              <c:f>'CGShiftStudy 2'!$Q$6:$Q$7</c:f>
              <c:numCache>
                <c:formatCode>General</c:formatCode>
                <c:ptCount val="2"/>
                <c:pt idx="0">
                  <c:v>0.101295</c:v>
                </c:pt>
                <c:pt idx="1">
                  <c:v>-0.101295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7C6-446A-AE41-F7227C177811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2'!$F$17:$F$18</c:f>
              <c:numCache>
                <c:formatCode>General</c:formatCode>
                <c:ptCount val="2"/>
                <c:pt idx="0">
                  <c:v>5.4640599999999998E-3</c:v>
                </c:pt>
                <c:pt idx="1">
                  <c:v>5.4640599999999998E-3</c:v>
                </c:pt>
              </c:numCache>
            </c:numRef>
          </c:xVal>
          <c:yVal>
            <c:numRef>
              <c:f>'CGShiftStudy 2'!$G$17:$G$18</c:f>
              <c:numCache>
                <c:formatCode>General</c:formatCode>
                <c:ptCount val="2"/>
                <c:pt idx="0">
                  <c:v>0.116207</c:v>
                </c:pt>
                <c:pt idx="1">
                  <c:v>-0.116207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7C6-446A-AE41-F7227C177811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2'!$H$17:$H$18</c:f>
              <c:numCache>
                <c:formatCode>General</c:formatCode>
                <c:ptCount val="2"/>
                <c:pt idx="0">
                  <c:v>5.3574199999999999E-3</c:v>
                </c:pt>
                <c:pt idx="1">
                  <c:v>5.3574199999999999E-3</c:v>
                </c:pt>
              </c:numCache>
            </c:numRef>
          </c:xVal>
          <c:yVal>
            <c:numRef>
              <c:f>'CGShiftStudy 2'!$I$17:$I$18</c:f>
              <c:numCache>
                <c:formatCode>General</c:formatCode>
                <c:ptCount val="2"/>
                <c:pt idx="0">
                  <c:v>0.11612599999999999</c:v>
                </c:pt>
                <c:pt idx="1">
                  <c:v>-0.11612599999999999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7C6-446A-AE41-F7227C177811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2'!$J$17:$J$18</c:f>
              <c:numCache>
                <c:formatCode>General</c:formatCode>
                <c:ptCount val="2"/>
                <c:pt idx="0">
                  <c:v>5.3927799999999998E-3</c:v>
                </c:pt>
                <c:pt idx="1">
                  <c:v>5.3927799999999998E-3</c:v>
                </c:pt>
              </c:numCache>
            </c:numRef>
          </c:xVal>
          <c:yVal>
            <c:numRef>
              <c:f>'CGShiftStudy 2'!$K$17:$K$18</c:f>
              <c:numCache>
                <c:formatCode>General</c:formatCode>
                <c:ptCount val="2"/>
                <c:pt idx="0">
                  <c:v>0.115898</c:v>
                </c:pt>
                <c:pt idx="1">
                  <c:v>-0.115898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7C6-446A-AE41-F7227C177811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2'!$N$17:$N$18</c:f>
              <c:numCache>
                <c:formatCode>General</c:formatCode>
                <c:ptCount val="2"/>
                <c:pt idx="0">
                  <c:v>6.2943599999999997E-3</c:v>
                </c:pt>
                <c:pt idx="1">
                  <c:v>6.2943599999999997E-3</c:v>
                </c:pt>
              </c:numCache>
            </c:numRef>
          </c:xVal>
          <c:yVal>
            <c:numRef>
              <c:f>'CGShiftStudy 2'!$O$17:$O$18</c:f>
              <c:numCache>
                <c:formatCode>General</c:formatCode>
                <c:ptCount val="2"/>
                <c:pt idx="0">
                  <c:v>0.113637</c:v>
                </c:pt>
                <c:pt idx="1">
                  <c:v>-0.113637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7C6-446A-AE41-F7227C177811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2'!$P$17:$P$18</c:f>
              <c:numCache>
                <c:formatCode>General</c:formatCode>
                <c:ptCount val="2"/>
                <c:pt idx="0">
                  <c:v>3.0973200000000002E-3</c:v>
                </c:pt>
                <c:pt idx="1">
                  <c:v>3.0973200000000002E-3</c:v>
                </c:pt>
              </c:numCache>
            </c:numRef>
          </c:xVal>
          <c:yVal>
            <c:numRef>
              <c:f>'CGShiftStudy 2'!$Q$17:$Q$18</c:f>
              <c:numCache>
                <c:formatCode>General</c:formatCode>
                <c:ptCount val="2"/>
                <c:pt idx="0">
                  <c:v>0.116909</c:v>
                </c:pt>
                <c:pt idx="1">
                  <c:v>-0.116909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7C6-446A-AE41-F7227C177811}"/>
            </c:ext>
          </c:extLst>
        </c:ser>
        <c:ser>
          <c:idx val="16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2'!$V$6:$V$7</c:f>
              <c:numCache>
                <c:formatCode>General</c:formatCode>
                <c:ptCount val="2"/>
                <c:pt idx="0">
                  <c:v>2.3818999999999999E-4</c:v>
                </c:pt>
                <c:pt idx="1">
                  <c:v>2.3818999999999999E-4</c:v>
                </c:pt>
              </c:numCache>
            </c:numRef>
          </c:xVal>
          <c:yVal>
            <c:numRef>
              <c:f>'CGShiftStudy 2'!$W$6:$W$7</c:f>
              <c:numCache>
                <c:formatCode>General</c:formatCode>
                <c:ptCount val="2"/>
                <c:pt idx="0">
                  <c:v>7.2108900000000004E-2</c:v>
                </c:pt>
                <c:pt idx="1">
                  <c:v>-7.2108900000000004E-2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7C6-446A-AE41-F7227C177811}"/>
            </c:ext>
          </c:extLst>
        </c:ser>
        <c:ser>
          <c:idx val="17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2'!$X$6:$X$7</c:f>
              <c:numCache>
                <c:formatCode>General</c:formatCode>
                <c:ptCount val="2"/>
                <c:pt idx="0">
                  <c:v>1.1254100000000001E-4</c:v>
                </c:pt>
                <c:pt idx="1">
                  <c:v>1.1254100000000001E-4</c:v>
                </c:pt>
              </c:numCache>
            </c:numRef>
          </c:xVal>
          <c:yVal>
            <c:numRef>
              <c:f>'CGShiftStudy 2'!$Y$6:$Y$7</c:f>
              <c:numCache>
                <c:formatCode>General</c:formatCode>
                <c:ptCount val="2"/>
                <c:pt idx="0">
                  <c:v>6.7976900000000007E-2</c:v>
                </c:pt>
                <c:pt idx="1">
                  <c:v>-6.7976900000000007E-2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7C6-446A-AE41-F7227C177811}"/>
            </c:ext>
          </c:extLst>
        </c:ser>
        <c:ser>
          <c:idx val="18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2'!$AB$6:$AB$7</c:f>
              <c:numCache>
                <c:formatCode>General</c:formatCode>
                <c:ptCount val="2"/>
                <c:pt idx="0">
                  <c:v>-1.4019600000000001E-3</c:v>
                </c:pt>
                <c:pt idx="1">
                  <c:v>-1.4019600000000001E-3</c:v>
                </c:pt>
              </c:numCache>
            </c:numRef>
          </c:xVal>
          <c:yVal>
            <c:numRef>
              <c:f>'CGShiftStudy 2'!$AC$6:$AC$7</c:f>
              <c:numCache>
                <c:formatCode>General</c:formatCode>
                <c:ptCount val="2"/>
                <c:pt idx="0">
                  <c:v>5.0646200000000002E-2</c:v>
                </c:pt>
                <c:pt idx="1">
                  <c:v>-5.0646200000000002E-2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7C6-446A-AE41-F7227C177811}"/>
            </c:ext>
          </c:extLst>
        </c:ser>
        <c:ser>
          <c:idx val="20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2'!$AF$6:$AF$7</c:f>
              <c:numCache>
                <c:formatCode>General</c:formatCode>
                <c:ptCount val="2"/>
                <c:pt idx="0">
                  <c:v>-2.2846399999999999E-2</c:v>
                </c:pt>
                <c:pt idx="1">
                  <c:v>-2.2846399999999999E-2</c:v>
                </c:pt>
              </c:numCache>
            </c:numRef>
          </c:xVal>
          <c:yVal>
            <c:numRef>
              <c:f>'CGShiftStudy 2'!$AG$6:$AG$7</c:f>
              <c:numCache>
                <c:formatCode>General</c:formatCode>
                <c:ptCount val="2"/>
                <c:pt idx="0">
                  <c:v>0.12088599999999999</c:v>
                </c:pt>
                <c:pt idx="1">
                  <c:v>-0.12088599999999999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7C6-446A-AE41-F7227C177811}"/>
            </c:ext>
          </c:extLst>
        </c:ser>
        <c:ser>
          <c:idx val="21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2'!$AH$6:$AH$7</c:f>
              <c:numCache>
                <c:formatCode>General</c:formatCode>
                <c:ptCount val="2"/>
                <c:pt idx="0">
                  <c:v>-2.2155299999999998E-3</c:v>
                </c:pt>
                <c:pt idx="1">
                  <c:v>-2.2155299999999998E-3</c:v>
                </c:pt>
              </c:numCache>
            </c:numRef>
          </c:xVal>
          <c:yVal>
            <c:numRef>
              <c:f>'CGShiftStudy 2'!$AI$6:$AI$7</c:f>
              <c:numCache>
                <c:formatCode>General</c:formatCode>
                <c:ptCount val="2"/>
                <c:pt idx="0">
                  <c:v>9.2389799999999994E-2</c:v>
                </c:pt>
                <c:pt idx="1">
                  <c:v>-9.2389799999999994E-2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7C6-446A-AE41-F7227C177811}"/>
            </c:ext>
          </c:extLst>
        </c:ser>
        <c:ser>
          <c:idx val="22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2'!$V$17:$V$18</c:f>
              <c:numCache>
                <c:formatCode>General</c:formatCode>
                <c:ptCount val="2"/>
                <c:pt idx="0">
                  <c:v>-1.1764E-3</c:v>
                </c:pt>
                <c:pt idx="1">
                  <c:v>-1.1764E-3</c:v>
                </c:pt>
              </c:numCache>
            </c:numRef>
          </c:xVal>
          <c:yVal>
            <c:numRef>
              <c:f>'CGShiftStudy 2'!$W$17:$W$18</c:f>
              <c:numCache>
                <c:formatCode>General</c:formatCode>
                <c:ptCount val="2"/>
                <c:pt idx="0">
                  <c:v>0.11121200000000001</c:v>
                </c:pt>
                <c:pt idx="1">
                  <c:v>-0.11121200000000001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7C6-446A-AE41-F7227C177811}"/>
            </c:ext>
          </c:extLst>
        </c:ser>
        <c:ser>
          <c:idx val="23"/>
          <c:order val="21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2'!$X$17:$X$18</c:f>
              <c:numCache>
                <c:formatCode>General</c:formatCode>
                <c:ptCount val="2"/>
                <c:pt idx="0">
                  <c:v>-4.5391800000000003E-3</c:v>
                </c:pt>
                <c:pt idx="1">
                  <c:v>-4.5391800000000003E-3</c:v>
                </c:pt>
              </c:numCache>
            </c:numRef>
          </c:xVal>
          <c:yVal>
            <c:numRef>
              <c:f>'CGShiftStudy 2'!$Y$17:$Y$18</c:f>
              <c:numCache>
                <c:formatCode>General</c:formatCode>
                <c:ptCount val="2"/>
                <c:pt idx="0">
                  <c:v>0.109485</c:v>
                </c:pt>
                <c:pt idx="1">
                  <c:v>-0.109485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7C6-446A-AE41-F7227C177811}"/>
            </c:ext>
          </c:extLst>
        </c:ser>
        <c:ser>
          <c:idx val="24"/>
          <c:order val="2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2'!$AB$17:$AB$18</c:f>
              <c:numCache>
                <c:formatCode>General</c:formatCode>
                <c:ptCount val="2"/>
                <c:pt idx="0">
                  <c:v>-1.66807E-2</c:v>
                </c:pt>
                <c:pt idx="1">
                  <c:v>-1.66807E-2</c:v>
                </c:pt>
              </c:numCache>
            </c:numRef>
          </c:xVal>
          <c:yVal>
            <c:numRef>
              <c:f>'CGShiftStudy 2'!$AC$17:$AC$18</c:f>
              <c:numCache>
                <c:formatCode>General</c:formatCode>
                <c:ptCount val="2"/>
                <c:pt idx="0">
                  <c:v>0.11032400000000001</c:v>
                </c:pt>
                <c:pt idx="1">
                  <c:v>-0.11032400000000001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7C6-446A-AE41-F7227C177811}"/>
            </c:ext>
          </c:extLst>
        </c:ser>
        <c:ser>
          <c:idx val="25"/>
          <c:order val="23"/>
          <c:tx>
            <c:v>B 60 0.27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2'!$AD$17:$AD$18</c:f>
              <c:numCache>
                <c:formatCode>General</c:formatCode>
                <c:ptCount val="2"/>
                <c:pt idx="0">
                  <c:v>8.5196700000000002E-4</c:v>
                </c:pt>
                <c:pt idx="1">
                  <c:v>8.5196700000000002E-4</c:v>
                </c:pt>
              </c:numCache>
            </c:numRef>
          </c:xVal>
          <c:yVal>
            <c:numRef>
              <c:f>'CGShiftStudy 2'!$AE$17:$AE$18</c:f>
              <c:numCache>
                <c:formatCode>General</c:formatCode>
                <c:ptCount val="2"/>
                <c:pt idx="0">
                  <c:v>0.124432</c:v>
                </c:pt>
                <c:pt idx="1">
                  <c:v>-0.124432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7C6-446A-AE41-F7227C177811}"/>
            </c:ext>
          </c:extLst>
        </c:ser>
        <c:ser>
          <c:idx val="26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2'!$AF$17:$AF$18</c:f>
              <c:numCache>
                <c:formatCode>General</c:formatCode>
                <c:ptCount val="2"/>
                <c:pt idx="0">
                  <c:v>5.0568699999999998E-3</c:v>
                </c:pt>
                <c:pt idx="1">
                  <c:v>5.0568699999999998E-3</c:v>
                </c:pt>
              </c:numCache>
            </c:numRef>
          </c:xVal>
          <c:yVal>
            <c:numRef>
              <c:f>'CGShiftStudy 2'!$AG$17:$AG$18</c:f>
              <c:numCache>
                <c:formatCode>General</c:formatCode>
                <c:ptCount val="2"/>
                <c:pt idx="0">
                  <c:v>0.119598</c:v>
                </c:pt>
                <c:pt idx="1">
                  <c:v>-0.119598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7C6-446A-AE41-F7227C177811}"/>
            </c:ext>
          </c:extLst>
        </c:ser>
        <c:ser>
          <c:idx val="27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2'!$AH$17:$AH$18</c:f>
              <c:numCache>
                <c:formatCode>General</c:formatCode>
                <c:ptCount val="2"/>
                <c:pt idx="0">
                  <c:v>7.0411299999999996E-3</c:v>
                </c:pt>
                <c:pt idx="1">
                  <c:v>7.0411299999999996E-3</c:v>
                </c:pt>
              </c:numCache>
            </c:numRef>
          </c:xVal>
          <c:yVal>
            <c:numRef>
              <c:f>'CGShiftStudy 2'!$AI$17:$AI$18</c:f>
              <c:numCache>
                <c:formatCode>General</c:formatCode>
                <c:ptCount val="2"/>
                <c:pt idx="0">
                  <c:v>0.11666700000000001</c:v>
                </c:pt>
                <c:pt idx="1">
                  <c:v>-0.11666700000000001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7C6-446A-AE41-F7227C177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4.0000000000000008E-2"/>
          <c:min val="-7.0000000000000007E-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1.0000000000000002E-2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3.1180555555555562E-2"/>
          <c:w val="0.16337801200145574"/>
          <c:h val="0.1319034339457567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40208406240886557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 - Ro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2'!$D$8</c:f>
              <c:numCache>
                <c:formatCode>0.00</c:formatCode>
                <c:ptCount val="1"/>
                <c:pt idx="0">
                  <c:v>-2.43309</c:v>
                </c:pt>
              </c:numCache>
            </c:numRef>
          </c:xVal>
          <c:yVal>
            <c:numRef>
              <c:f>'CGShiftStudy 2'!$E$8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A-4797-96C5-2AFE34D46775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2'!$D$19</c:f>
              <c:numCache>
                <c:formatCode>General</c:formatCode>
                <c:ptCount val="1"/>
                <c:pt idx="0">
                  <c:v>-2.4758900000000001</c:v>
                </c:pt>
              </c:numCache>
            </c:numRef>
          </c:xVal>
          <c:yVal>
            <c:numRef>
              <c:f>'CGShiftStudy 2'!$E$19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5A-4797-96C5-2AFE34D46775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2'!$T$8</c:f>
              <c:numCache>
                <c:formatCode>General</c:formatCode>
                <c:ptCount val="1"/>
                <c:pt idx="0">
                  <c:v>-4.1398400000000004</c:v>
                </c:pt>
              </c:numCache>
            </c:numRef>
          </c:xVal>
          <c:yVal>
            <c:numRef>
              <c:f>'CGShiftStudy 2'!$U$8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5A-4797-96C5-2AFE34D46775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2'!$T$19</c:f>
              <c:numCache>
                <c:formatCode>General</c:formatCode>
                <c:ptCount val="1"/>
                <c:pt idx="0">
                  <c:v>-4.0634600000000001</c:v>
                </c:pt>
              </c:numCache>
            </c:numRef>
          </c:xVal>
          <c:yVal>
            <c:numRef>
              <c:f>'CGShiftStudy 2'!$U$19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5A-4797-96C5-2AFE34D46775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2'!$F$8</c:f>
              <c:numCache>
                <c:formatCode>General</c:formatCode>
                <c:ptCount val="1"/>
                <c:pt idx="0">
                  <c:v>-2.4345599999999998</c:v>
                </c:pt>
              </c:numCache>
            </c:numRef>
          </c:xVal>
          <c:yVal>
            <c:numRef>
              <c:f>'CGShiftStudy 2'!$G$8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5A-4797-96C5-2AFE34D46775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2'!$H$8</c:f>
              <c:numCache>
                <c:formatCode>General</c:formatCode>
                <c:ptCount val="1"/>
                <c:pt idx="0">
                  <c:v>-2.43607</c:v>
                </c:pt>
              </c:numCache>
            </c:numRef>
          </c:xVal>
          <c:yVal>
            <c:numRef>
              <c:f>'CGShiftStudy 2'!$I$8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5A-4797-96C5-2AFE34D46775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2'!$J$8</c:f>
              <c:numCache>
                <c:formatCode>General</c:formatCode>
                <c:ptCount val="1"/>
                <c:pt idx="0">
                  <c:v>-2.4376500000000001</c:v>
                </c:pt>
              </c:numCache>
            </c:numRef>
          </c:xVal>
          <c:yVal>
            <c:numRef>
              <c:f>'CGShiftStudy 2'!$K$8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5A-4797-96C5-2AFE34D46775}"/>
            </c:ext>
          </c:extLst>
        </c:ser>
        <c:ser>
          <c:idx val="7"/>
          <c:order val="7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2'!$N$8</c:f>
              <c:numCache>
                <c:formatCode>General</c:formatCode>
                <c:ptCount val="1"/>
                <c:pt idx="0">
                  <c:v>-2.4392800000000001</c:v>
                </c:pt>
              </c:numCache>
            </c:numRef>
          </c:xVal>
          <c:yVal>
            <c:numRef>
              <c:f>'CGShiftStudy 2'!$O$8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5A-4797-96C5-2AFE34D46775}"/>
            </c:ext>
          </c:extLst>
        </c:ser>
        <c:ser>
          <c:idx val="8"/>
          <c:order val="8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2'!$P$8</c:f>
              <c:numCache>
                <c:formatCode>General</c:formatCode>
                <c:ptCount val="1"/>
                <c:pt idx="0">
                  <c:v>-2.4409800000000001</c:v>
                </c:pt>
              </c:numCache>
            </c:numRef>
          </c:xVal>
          <c:yVal>
            <c:numRef>
              <c:f>'CGShiftStudy 2'!$Q$8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E5A-4797-96C5-2AFE34D46775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2'!$F$19</c:f>
              <c:numCache>
                <c:formatCode>General</c:formatCode>
                <c:ptCount val="1"/>
                <c:pt idx="0">
                  <c:v>-2.4788000000000001</c:v>
                </c:pt>
              </c:numCache>
            </c:numRef>
          </c:xVal>
          <c:yVal>
            <c:numRef>
              <c:f>'CGShiftStudy 2'!$G$19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E5A-4797-96C5-2AFE34D46775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2'!$H$19</c:f>
              <c:numCache>
                <c:formatCode>General</c:formatCode>
                <c:ptCount val="1"/>
                <c:pt idx="0">
                  <c:v>-2.4817499999999999</c:v>
                </c:pt>
              </c:numCache>
            </c:numRef>
          </c:xVal>
          <c:yVal>
            <c:numRef>
              <c:f>'CGShiftStudy 2'!$I$19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E5A-4797-96C5-2AFE34D46775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2'!$J$19</c:f>
              <c:numCache>
                <c:formatCode>General</c:formatCode>
                <c:ptCount val="1"/>
                <c:pt idx="0">
                  <c:v>-2.4847399999999999</c:v>
                </c:pt>
              </c:numCache>
            </c:numRef>
          </c:xVal>
          <c:yVal>
            <c:numRef>
              <c:f>'CGShiftStudy 2'!$K$19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E5A-4797-96C5-2AFE34D46775}"/>
            </c:ext>
          </c:extLst>
        </c:ser>
        <c:ser>
          <c:idx val="14"/>
          <c:order val="12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2'!$N$19</c:f>
              <c:numCache>
                <c:formatCode>General</c:formatCode>
                <c:ptCount val="1"/>
                <c:pt idx="0">
                  <c:v>-2.4877699999999998</c:v>
                </c:pt>
              </c:numCache>
            </c:numRef>
          </c:xVal>
          <c:yVal>
            <c:numRef>
              <c:f>'CGShiftStudy 2'!$O$19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E5A-4797-96C5-2AFE34D46775}"/>
            </c:ext>
          </c:extLst>
        </c:ser>
        <c:ser>
          <c:idx val="15"/>
          <c:order val="13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2'!$P$19</c:f>
              <c:numCache>
                <c:formatCode>General</c:formatCode>
                <c:ptCount val="1"/>
                <c:pt idx="0">
                  <c:v>-2.4908000000000001</c:v>
                </c:pt>
              </c:numCache>
            </c:numRef>
          </c:xVal>
          <c:yVal>
            <c:numRef>
              <c:f>'CGShiftStudy 2'!$Q$19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E5A-4797-96C5-2AFE34D46775}"/>
            </c:ext>
          </c:extLst>
        </c:ser>
        <c:ser>
          <c:idx val="16"/>
          <c:order val="14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2'!$V$8</c:f>
              <c:numCache>
                <c:formatCode>General</c:formatCode>
                <c:ptCount val="1"/>
                <c:pt idx="0">
                  <c:v>-4.1406900000000002</c:v>
                </c:pt>
              </c:numCache>
            </c:numRef>
          </c:xVal>
          <c:yVal>
            <c:numRef>
              <c:f>'CGShiftStudy 2'!$W$8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E5A-4797-96C5-2AFE34D46775}"/>
            </c:ext>
          </c:extLst>
        </c:ser>
        <c:ser>
          <c:idx val="17"/>
          <c:order val="15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2'!$X$8</c:f>
              <c:numCache>
                <c:formatCode>General</c:formatCode>
                <c:ptCount val="1"/>
                <c:pt idx="0">
                  <c:v>-4.1415300000000004</c:v>
                </c:pt>
              </c:numCache>
            </c:numRef>
          </c:xVal>
          <c:yVal>
            <c:numRef>
              <c:f>'CGShiftStudy 2'!$Y$8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E5A-4797-96C5-2AFE34D46775}"/>
            </c:ext>
          </c:extLst>
        </c:ser>
        <c:ser>
          <c:idx val="18"/>
          <c:order val="16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2'!$AB$8</c:f>
              <c:numCache>
                <c:formatCode>General</c:formatCode>
                <c:ptCount val="1"/>
                <c:pt idx="0">
                  <c:v>-4.14236</c:v>
                </c:pt>
              </c:numCache>
            </c:numRef>
          </c:xVal>
          <c:yVal>
            <c:numRef>
              <c:f>'CGShiftStudy 2'!$AC$8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E5A-4797-96C5-2AFE34D46775}"/>
            </c:ext>
          </c:extLst>
        </c:ser>
        <c:ser>
          <c:idx val="20"/>
          <c:order val="17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2'!$AF$8</c:f>
              <c:numCache>
                <c:formatCode>General</c:formatCode>
                <c:ptCount val="1"/>
                <c:pt idx="0">
                  <c:v>-4.1431800000000001</c:v>
                </c:pt>
              </c:numCache>
            </c:numRef>
          </c:xVal>
          <c:yVal>
            <c:numRef>
              <c:f>'CGShiftStudy 2'!$AG$8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E5A-4797-96C5-2AFE34D46775}"/>
            </c:ext>
          </c:extLst>
        </c:ser>
        <c:ser>
          <c:idx val="21"/>
          <c:order val="18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2'!$AH$8</c:f>
              <c:numCache>
                <c:formatCode>General</c:formatCode>
                <c:ptCount val="1"/>
                <c:pt idx="0">
                  <c:v>-4.1439899999999996</c:v>
                </c:pt>
              </c:numCache>
            </c:numRef>
          </c:xVal>
          <c:yVal>
            <c:numRef>
              <c:f>'CGShiftStudy 2'!$AI$8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E5A-4797-96C5-2AFE34D46775}"/>
            </c:ext>
          </c:extLst>
        </c:ser>
        <c:ser>
          <c:idx val="22"/>
          <c:order val="19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2'!$V$19</c:f>
              <c:numCache>
                <c:formatCode>General</c:formatCode>
                <c:ptCount val="1"/>
                <c:pt idx="0">
                  <c:v>-4.0669599999999999</c:v>
                </c:pt>
              </c:numCache>
            </c:numRef>
          </c:xVal>
          <c:yVal>
            <c:numRef>
              <c:f>'CGShiftStudy 2'!$W$19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E5A-4797-96C5-2AFE34D46775}"/>
            </c:ext>
          </c:extLst>
        </c:ser>
        <c:ser>
          <c:idx val="23"/>
          <c:order val="20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2'!$X$19</c:f>
              <c:numCache>
                <c:formatCode>General</c:formatCode>
                <c:ptCount val="1"/>
                <c:pt idx="0">
                  <c:v>-4.0703899999999997</c:v>
                </c:pt>
              </c:numCache>
            </c:numRef>
          </c:xVal>
          <c:yVal>
            <c:numRef>
              <c:f>'CGShiftStudy 2'!$Y$19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E5A-4797-96C5-2AFE34D46775}"/>
            </c:ext>
          </c:extLst>
        </c:ser>
        <c:ser>
          <c:idx val="24"/>
          <c:order val="21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2'!$AB$19</c:f>
              <c:numCache>
                <c:formatCode>General</c:formatCode>
                <c:ptCount val="1"/>
                <c:pt idx="0">
                  <c:v>-4.0737500000000004</c:v>
                </c:pt>
              </c:numCache>
            </c:numRef>
          </c:xVal>
          <c:yVal>
            <c:numRef>
              <c:f>'CGShiftStudy 2'!$AC$19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E5A-4797-96C5-2AFE34D46775}"/>
            </c:ext>
          </c:extLst>
        </c:ser>
        <c:ser>
          <c:idx val="26"/>
          <c:order val="22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2'!$AF$19</c:f>
              <c:numCache>
                <c:formatCode>General</c:formatCode>
                <c:ptCount val="1"/>
                <c:pt idx="0">
                  <c:v>-4.0769900000000003</c:v>
                </c:pt>
              </c:numCache>
            </c:numRef>
          </c:xVal>
          <c:yVal>
            <c:numRef>
              <c:f>'CGShiftStudy 2'!$AG$19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E5A-4797-96C5-2AFE34D46775}"/>
            </c:ext>
          </c:extLst>
        </c:ser>
        <c:ser>
          <c:idx val="27"/>
          <c:order val="23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2'!$AH$19</c:f>
              <c:numCache>
                <c:formatCode>General</c:formatCode>
                <c:ptCount val="1"/>
                <c:pt idx="0">
                  <c:v>-4.1078000000000001</c:v>
                </c:pt>
              </c:numCache>
            </c:numRef>
          </c:xVal>
          <c:yVal>
            <c:numRef>
              <c:f>'CGShiftStudy 2'!$AI$19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E5A-4797-96C5-2AFE34D46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-4"/>
          <c:min val="-4.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  <c:majorUnit val="0.2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609540953772034E-2"/>
          <c:y val="2.3477617465498764E-2"/>
          <c:w val="0.91224303425267528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2'!$D$8</c:f>
              <c:numCache>
                <c:formatCode>0.00</c:formatCode>
                <c:ptCount val="1"/>
                <c:pt idx="0">
                  <c:v>-2.43309</c:v>
                </c:pt>
              </c:numCache>
            </c:numRef>
          </c:xVal>
          <c:yVal>
            <c:numRef>
              <c:f>'CGShiftStudy 2'!$E$8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B-4B5A-A41A-1EA0DC9478D9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2'!$D$19</c:f>
              <c:numCache>
                <c:formatCode>General</c:formatCode>
                <c:ptCount val="1"/>
                <c:pt idx="0">
                  <c:v>-2.4758900000000001</c:v>
                </c:pt>
              </c:numCache>
            </c:numRef>
          </c:xVal>
          <c:yVal>
            <c:numRef>
              <c:f>'CGShiftStudy 2'!$E$19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B-4B5A-A41A-1EA0DC9478D9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2'!$T$8</c:f>
              <c:numCache>
                <c:formatCode>General</c:formatCode>
                <c:ptCount val="1"/>
                <c:pt idx="0">
                  <c:v>-4.1398400000000004</c:v>
                </c:pt>
              </c:numCache>
            </c:numRef>
          </c:xVal>
          <c:yVal>
            <c:numRef>
              <c:f>'CGShiftStudy 2'!$U$8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B-4B5A-A41A-1EA0DC9478D9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2'!$T$19</c:f>
              <c:numCache>
                <c:formatCode>General</c:formatCode>
                <c:ptCount val="1"/>
                <c:pt idx="0">
                  <c:v>-4.0634600000000001</c:v>
                </c:pt>
              </c:numCache>
            </c:numRef>
          </c:xVal>
          <c:yVal>
            <c:numRef>
              <c:f>'CGShiftStudy 2'!$U$19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B-4B5A-A41A-1EA0DC9478D9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2'!$F$8</c:f>
              <c:numCache>
                <c:formatCode>General</c:formatCode>
                <c:ptCount val="1"/>
                <c:pt idx="0">
                  <c:v>-2.4345599999999998</c:v>
                </c:pt>
              </c:numCache>
            </c:numRef>
          </c:xVal>
          <c:yVal>
            <c:numRef>
              <c:f>'CGShiftStudy 2'!$G$8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B-4B5A-A41A-1EA0DC9478D9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2'!$H$8</c:f>
              <c:numCache>
                <c:formatCode>General</c:formatCode>
                <c:ptCount val="1"/>
                <c:pt idx="0">
                  <c:v>-2.43607</c:v>
                </c:pt>
              </c:numCache>
            </c:numRef>
          </c:xVal>
          <c:yVal>
            <c:numRef>
              <c:f>'CGShiftStudy 2'!$I$8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B-4B5A-A41A-1EA0DC9478D9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2'!$J$8</c:f>
              <c:numCache>
                <c:formatCode>General</c:formatCode>
                <c:ptCount val="1"/>
                <c:pt idx="0">
                  <c:v>-2.4376500000000001</c:v>
                </c:pt>
              </c:numCache>
            </c:numRef>
          </c:xVal>
          <c:yVal>
            <c:numRef>
              <c:f>'CGShiftStudy 2'!$K$8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B-4B5A-A41A-1EA0DC9478D9}"/>
            </c:ext>
          </c:extLst>
        </c:ser>
        <c:ser>
          <c:idx val="7"/>
          <c:order val="7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2'!$N$8</c:f>
              <c:numCache>
                <c:formatCode>General</c:formatCode>
                <c:ptCount val="1"/>
                <c:pt idx="0">
                  <c:v>-2.4392800000000001</c:v>
                </c:pt>
              </c:numCache>
            </c:numRef>
          </c:xVal>
          <c:yVal>
            <c:numRef>
              <c:f>'CGShiftStudy 2'!$O$8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B-4B5A-A41A-1EA0DC9478D9}"/>
            </c:ext>
          </c:extLst>
        </c:ser>
        <c:ser>
          <c:idx val="8"/>
          <c:order val="8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2'!$P$8</c:f>
              <c:numCache>
                <c:formatCode>General</c:formatCode>
                <c:ptCount val="1"/>
                <c:pt idx="0">
                  <c:v>-2.4409800000000001</c:v>
                </c:pt>
              </c:numCache>
            </c:numRef>
          </c:xVal>
          <c:yVal>
            <c:numRef>
              <c:f>'CGShiftStudy 2'!$Q$8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B-4B5A-A41A-1EA0DC9478D9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2'!$F$19</c:f>
              <c:numCache>
                <c:formatCode>General</c:formatCode>
                <c:ptCount val="1"/>
                <c:pt idx="0">
                  <c:v>-2.4788000000000001</c:v>
                </c:pt>
              </c:numCache>
            </c:numRef>
          </c:xVal>
          <c:yVal>
            <c:numRef>
              <c:f>'CGShiftStudy 2'!$G$19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B-4B5A-A41A-1EA0DC9478D9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2'!$H$19</c:f>
              <c:numCache>
                <c:formatCode>General</c:formatCode>
                <c:ptCount val="1"/>
                <c:pt idx="0">
                  <c:v>-2.4817499999999999</c:v>
                </c:pt>
              </c:numCache>
            </c:numRef>
          </c:xVal>
          <c:yVal>
            <c:numRef>
              <c:f>'CGShiftStudy 2'!$I$19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B-4B5A-A41A-1EA0DC9478D9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2'!$J$19</c:f>
              <c:numCache>
                <c:formatCode>General</c:formatCode>
                <c:ptCount val="1"/>
                <c:pt idx="0">
                  <c:v>-2.4847399999999999</c:v>
                </c:pt>
              </c:numCache>
            </c:numRef>
          </c:xVal>
          <c:yVal>
            <c:numRef>
              <c:f>'CGShiftStudy 2'!$K$19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B-4B5A-A41A-1EA0DC9478D9}"/>
            </c:ext>
          </c:extLst>
        </c:ser>
        <c:ser>
          <c:idx val="14"/>
          <c:order val="12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2'!$N$19</c:f>
              <c:numCache>
                <c:formatCode>General</c:formatCode>
                <c:ptCount val="1"/>
                <c:pt idx="0">
                  <c:v>-2.4877699999999998</c:v>
                </c:pt>
              </c:numCache>
            </c:numRef>
          </c:xVal>
          <c:yVal>
            <c:numRef>
              <c:f>'CGShiftStudy 2'!$O$19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B-4B5A-A41A-1EA0DC9478D9}"/>
            </c:ext>
          </c:extLst>
        </c:ser>
        <c:ser>
          <c:idx val="15"/>
          <c:order val="13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2'!$P$19</c:f>
              <c:numCache>
                <c:formatCode>General</c:formatCode>
                <c:ptCount val="1"/>
                <c:pt idx="0">
                  <c:v>-2.4908000000000001</c:v>
                </c:pt>
              </c:numCache>
            </c:numRef>
          </c:xVal>
          <c:yVal>
            <c:numRef>
              <c:f>'CGShiftStudy 2'!$Q$19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B-4B5A-A41A-1EA0DC9478D9}"/>
            </c:ext>
          </c:extLst>
        </c:ser>
        <c:ser>
          <c:idx val="16"/>
          <c:order val="14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2'!$V$8</c:f>
              <c:numCache>
                <c:formatCode>General</c:formatCode>
                <c:ptCount val="1"/>
                <c:pt idx="0">
                  <c:v>-4.1406900000000002</c:v>
                </c:pt>
              </c:numCache>
            </c:numRef>
          </c:xVal>
          <c:yVal>
            <c:numRef>
              <c:f>'CGShiftStudy 2'!$W$8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B-4B5A-A41A-1EA0DC9478D9}"/>
            </c:ext>
          </c:extLst>
        </c:ser>
        <c:ser>
          <c:idx val="17"/>
          <c:order val="15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2'!$X$8</c:f>
              <c:numCache>
                <c:formatCode>General</c:formatCode>
                <c:ptCount val="1"/>
                <c:pt idx="0">
                  <c:v>-4.1415300000000004</c:v>
                </c:pt>
              </c:numCache>
            </c:numRef>
          </c:xVal>
          <c:yVal>
            <c:numRef>
              <c:f>'CGShiftStudy 2'!$Y$8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B-4B5A-A41A-1EA0DC9478D9}"/>
            </c:ext>
          </c:extLst>
        </c:ser>
        <c:ser>
          <c:idx val="18"/>
          <c:order val="16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2'!$AB$8</c:f>
              <c:numCache>
                <c:formatCode>General</c:formatCode>
                <c:ptCount val="1"/>
                <c:pt idx="0">
                  <c:v>-4.14236</c:v>
                </c:pt>
              </c:numCache>
            </c:numRef>
          </c:xVal>
          <c:yVal>
            <c:numRef>
              <c:f>'CGShiftStudy 2'!$AC$8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B-4B5A-A41A-1EA0DC9478D9}"/>
            </c:ext>
          </c:extLst>
        </c:ser>
        <c:ser>
          <c:idx val="20"/>
          <c:order val="17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2'!$AF$8</c:f>
              <c:numCache>
                <c:formatCode>General</c:formatCode>
                <c:ptCount val="1"/>
                <c:pt idx="0">
                  <c:v>-4.1431800000000001</c:v>
                </c:pt>
              </c:numCache>
            </c:numRef>
          </c:xVal>
          <c:yVal>
            <c:numRef>
              <c:f>'CGShiftStudy 2'!$AG$8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B-4B5A-A41A-1EA0DC9478D9}"/>
            </c:ext>
          </c:extLst>
        </c:ser>
        <c:ser>
          <c:idx val="21"/>
          <c:order val="18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2'!$AH$8</c:f>
              <c:numCache>
                <c:formatCode>General</c:formatCode>
                <c:ptCount val="1"/>
                <c:pt idx="0">
                  <c:v>-4.1439899999999996</c:v>
                </c:pt>
              </c:numCache>
            </c:numRef>
          </c:xVal>
          <c:yVal>
            <c:numRef>
              <c:f>'CGShiftStudy 2'!$AI$8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B-4B5A-A41A-1EA0DC9478D9}"/>
            </c:ext>
          </c:extLst>
        </c:ser>
        <c:ser>
          <c:idx val="22"/>
          <c:order val="19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2'!$V$19</c:f>
              <c:numCache>
                <c:formatCode>General</c:formatCode>
                <c:ptCount val="1"/>
                <c:pt idx="0">
                  <c:v>-4.0669599999999999</c:v>
                </c:pt>
              </c:numCache>
            </c:numRef>
          </c:xVal>
          <c:yVal>
            <c:numRef>
              <c:f>'CGShiftStudy 2'!$W$19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B-4B5A-A41A-1EA0DC9478D9}"/>
            </c:ext>
          </c:extLst>
        </c:ser>
        <c:ser>
          <c:idx val="23"/>
          <c:order val="20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2'!$X$19</c:f>
              <c:numCache>
                <c:formatCode>General</c:formatCode>
                <c:ptCount val="1"/>
                <c:pt idx="0">
                  <c:v>-4.0703899999999997</c:v>
                </c:pt>
              </c:numCache>
            </c:numRef>
          </c:xVal>
          <c:yVal>
            <c:numRef>
              <c:f>'CGShiftStudy 2'!$Y$19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B-4B5A-A41A-1EA0DC9478D9}"/>
            </c:ext>
          </c:extLst>
        </c:ser>
        <c:ser>
          <c:idx val="24"/>
          <c:order val="21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2'!$AB$19</c:f>
              <c:numCache>
                <c:formatCode>General</c:formatCode>
                <c:ptCount val="1"/>
                <c:pt idx="0">
                  <c:v>-4.0737500000000004</c:v>
                </c:pt>
              </c:numCache>
            </c:numRef>
          </c:xVal>
          <c:yVal>
            <c:numRef>
              <c:f>'CGShiftStudy 2'!$AC$19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B-4B5A-A41A-1EA0DC9478D9}"/>
            </c:ext>
          </c:extLst>
        </c:ser>
        <c:ser>
          <c:idx val="26"/>
          <c:order val="22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2'!$AF$19</c:f>
              <c:numCache>
                <c:formatCode>General</c:formatCode>
                <c:ptCount val="1"/>
                <c:pt idx="0">
                  <c:v>-4.0769900000000003</c:v>
                </c:pt>
              </c:numCache>
            </c:numRef>
          </c:xVal>
          <c:yVal>
            <c:numRef>
              <c:f>'CGShiftStudy 2'!$AG$19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B-4B5A-A41A-1EA0DC9478D9}"/>
            </c:ext>
          </c:extLst>
        </c:ser>
        <c:ser>
          <c:idx val="27"/>
          <c:order val="23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2'!$AH$19</c:f>
              <c:numCache>
                <c:formatCode>General</c:formatCode>
                <c:ptCount val="1"/>
                <c:pt idx="0">
                  <c:v>-4.1078000000000001</c:v>
                </c:pt>
              </c:numCache>
            </c:numRef>
          </c:xVal>
          <c:yVal>
            <c:numRef>
              <c:f>'CGShiftStudy 2'!$AI$19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B-4B5A-A41A-1EA0DC947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-2.3499999999999996"/>
          <c:min val="-2.5499999999999998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crossAx val="1887072912"/>
        <c:crosses val="autoZero"/>
        <c:crossBetween val="midCat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4801236470216794"/>
          <c:y val="3.349537037037037E-2"/>
          <c:w val="0.2933212702092669"/>
          <c:h val="0.134218248760571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2'!$D$9</c:f>
              <c:numCache>
                <c:formatCode>0.00</c:formatCode>
                <c:ptCount val="1"/>
                <c:pt idx="0">
                  <c:v>3.6053000000000001E-3</c:v>
                </c:pt>
              </c:numCache>
            </c:numRef>
          </c:xVal>
          <c:yVal>
            <c:numRef>
              <c:f>'CGShiftStudy 2'!$E$9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3B-4BC7-9F03-45103FCCEADA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2'!$D$20</c:f>
              <c:numCache>
                <c:formatCode>General</c:formatCode>
                <c:ptCount val="1"/>
                <c:pt idx="0">
                  <c:v>4.5560100000000001E-3</c:v>
                </c:pt>
              </c:numCache>
            </c:numRef>
          </c:xVal>
          <c:yVal>
            <c:numRef>
              <c:f>'CGShiftStudy 2'!$E$20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3B-4BC7-9F03-45103FCCEADA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2'!$T$9</c:f>
              <c:numCache>
                <c:formatCode>General</c:formatCode>
                <c:ptCount val="1"/>
                <c:pt idx="0">
                  <c:v>-1.03807E-2</c:v>
                </c:pt>
              </c:numCache>
            </c:numRef>
          </c:xVal>
          <c:yVal>
            <c:numRef>
              <c:f>'CGShiftStudy 2'!$U$9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3B-4BC7-9F03-45103FCCEADA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2'!$T$20</c:f>
              <c:numCache>
                <c:formatCode>General</c:formatCode>
                <c:ptCount val="1"/>
                <c:pt idx="0">
                  <c:v>1.05328E-2</c:v>
                </c:pt>
              </c:numCache>
            </c:numRef>
          </c:xVal>
          <c:yVal>
            <c:numRef>
              <c:f>'CGShiftStudy 2'!$U$20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3B-4BC7-9F03-45103FCCEADA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2'!$F$9</c:f>
              <c:numCache>
                <c:formatCode>General</c:formatCode>
                <c:ptCount val="1"/>
                <c:pt idx="0">
                  <c:v>3.3550300000000002E-3</c:v>
                </c:pt>
              </c:numCache>
            </c:numRef>
          </c:xVal>
          <c:yVal>
            <c:numRef>
              <c:f>'CGShiftStudy 2'!$G$9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3B-4BC7-9F03-45103FCCEADA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2'!$H$9</c:f>
              <c:numCache>
                <c:formatCode>General</c:formatCode>
                <c:ptCount val="1"/>
                <c:pt idx="0">
                  <c:v>3.1005400000000002E-3</c:v>
                </c:pt>
              </c:numCache>
            </c:numRef>
          </c:xVal>
          <c:yVal>
            <c:numRef>
              <c:f>'CGShiftStudy 2'!$I$9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3B-4BC7-9F03-45103FCCEADA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2'!$J$9</c:f>
              <c:numCache>
                <c:formatCode>General</c:formatCode>
                <c:ptCount val="1"/>
                <c:pt idx="0">
                  <c:v>2.8414400000000002E-3</c:v>
                </c:pt>
              </c:numCache>
            </c:numRef>
          </c:xVal>
          <c:yVal>
            <c:numRef>
              <c:f>'CGShiftStudy 2'!$K$9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3B-4BC7-9F03-45103FCCEADA}"/>
            </c:ext>
          </c:extLst>
        </c:ser>
        <c:ser>
          <c:idx val="7"/>
          <c:order val="7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2'!$N$9</c:f>
              <c:numCache>
                <c:formatCode>General</c:formatCode>
                <c:ptCount val="1"/>
                <c:pt idx="0">
                  <c:v>2.5774600000000002E-3</c:v>
                </c:pt>
              </c:numCache>
            </c:numRef>
          </c:xVal>
          <c:yVal>
            <c:numRef>
              <c:f>'CGShiftStudy 2'!$O$9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3B-4BC7-9F03-45103FCCEADA}"/>
            </c:ext>
          </c:extLst>
        </c:ser>
        <c:ser>
          <c:idx val="8"/>
          <c:order val="8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2'!$P$9</c:f>
              <c:numCache>
                <c:formatCode>General</c:formatCode>
                <c:ptCount val="1"/>
                <c:pt idx="0">
                  <c:v>2.30817E-3</c:v>
                </c:pt>
              </c:numCache>
            </c:numRef>
          </c:xVal>
          <c:yVal>
            <c:numRef>
              <c:f>'CGShiftStudy 2'!$Q$9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3B-4BC7-9F03-45103FCCEADA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2'!$F$20</c:f>
              <c:numCache>
                <c:formatCode>General</c:formatCode>
                <c:ptCount val="1"/>
                <c:pt idx="0">
                  <c:v>4.2934999999999996E-3</c:v>
                </c:pt>
              </c:numCache>
            </c:numRef>
          </c:xVal>
          <c:yVal>
            <c:numRef>
              <c:f>'CGShiftStudy 2'!$G$20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A3B-4BC7-9F03-45103FCCEADA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2'!$H$20</c:f>
              <c:numCache>
                <c:formatCode>General</c:formatCode>
                <c:ptCount val="1"/>
                <c:pt idx="0">
                  <c:v>3.87463E-3</c:v>
                </c:pt>
              </c:numCache>
            </c:numRef>
          </c:xVal>
          <c:yVal>
            <c:numRef>
              <c:f>'CGShiftStudy 2'!$I$20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A3B-4BC7-9F03-45103FCCEADA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2'!$J$20</c:f>
              <c:numCache>
                <c:formatCode>General</c:formatCode>
                <c:ptCount val="1"/>
                <c:pt idx="0">
                  <c:v>2.9519699999999999E-3</c:v>
                </c:pt>
              </c:numCache>
            </c:numRef>
          </c:xVal>
          <c:yVal>
            <c:numRef>
              <c:f>'CGShiftStudy 2'!$K$20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A3B-4BC7-9F03-45103FCCEADA}"/>
            </c:ext>
          </c:extLst>
        </c:ser>
        <c:ser>
          <c:idx val="13"/>
          <c:order val="12"/>
          <c:tx>
            <c:v>F 60 0.23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2'!$L$20</c:f>
              <c:numCache>
                <c:formatCode>General</c:formatCode>
                <c:ptCount val="1"/>
                <c:pt idx="0">
                  <c:v>-8.7724700000000005E-4</c:v>
                </c:pt>
              </c:numCache>
            </c:numRef>
          </c:xVal>
          <c:yVal>
            <c:numRef>
              <c:f>'CGShiftStudy 2'!$M$20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A3B-4BC7-9F03-45103FCCEADA}"/>
            </c:ext>
          </c:extLst>
        </c:ser>
        <c:ser>
          <c:idx val="14"/>
          <c:order val="13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2'!$N$20</c:f>
              <c:numCache>
                <c:formatCode>General</c:formatCode>
                <c:ptCount val="1"/>
                <c:pt idx="0">
                  <c:v>-4.0730999999999996E-3</c:v>
                </c:pt>
              </c:numCache>
            </c:numRef>
          </c:xVal>
          <c:yVal>
            <c:numRef>
              <c:f>'CGShiftStudy 2'!$O$20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A3B-4BC7-9F03-45103FCCEADA}"/>
            </c:ext>
          </c:extLst>
        </c:ser>
        <c:ser>
          <c:idx val="15"/>
          <c:order val="14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2'!$P$20</c:f>
              <c:numCache>
                <c:formatCode>General</c:formatCode>
                <c:ptCount val="1"/>
                <c:pt idx="0">
                  <c:v>7.8407000000000008E-3</c:v>
                </c:pt>
              </c:numCache>
            </c:numRef>
          </c:xVal>
          <c:yVal>
            <c:numRef>
              <c:f>'CGShiftStudy 2'!$Q$20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A3B-4BC7-9F03-45103FCCEADA}"/>
            </c:ext>
          </c:extLst>
        </c:ser>
        <c:ser>
          <c:idx val="16"/>
          <c:order val="15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2'!$V$9</c:f>
              <c:numCache>
                <c:formatCode>General</c:formatCode>
                <c:ptCount val="1"/>
                <c:pt idx="0">
                  <c:v>-1.6442399999999999E-2</c:v>
                </c:pt>
              </c:numCache>
            </c:numRef>
          </c:xVal>
          <c:yVal>
            <c:numRef>
              <c:f>'CGShiftStudy 2'!$W$9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A3B-4BC7-9F03-45103FCCEADA}"/>
            </c:ext>
          </c:extLst>
        </c:ser>
        <c:ser>
          <c:idx val="17"/>
          <c:order val="16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2'!$X$9</c:f>
              <c:numCache>
                <c:formatCode>General</c:formatCode>
                <c:ptCount val="1"/>
                <c:pt idx="0">
                  <c:v>-2.7101E-2</c:v>
                </c:pt>
              </c:numCache>
            </c:numRef>
          </c:xVal>
          <c:yVal>
            <c:numRef>
              <c:f>'CGShiftStudy 2'!$Y$9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A3B-4BC7-9F03-45103FCCEADA}"/>
            </c:ext>
          </c:extLst>
        </c:ser>
        <c:ser>
          <c:idx val="18"/>
          <c:order val="17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2'!$AB$9</c:f>
              <c:numCache>
                <c:formatCode>General</c:formatCode>
                <c:ptCount val="1"/>
                <c:pt idx="0">
                  <c:v>-5.1176800000000001E-2</c:v>
                </c:pt>
              </c:numCache>
            </c:numRef>
          </c:xVal>
          <c:yVal>
            <c:numRef>
              <c:f>'CGShiftStudy 2'!$AC$9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A3B-4BC7-9F03-45103FCCEADA}"/>
            </c:ext>
          </c:extLst>
        </c:ser>
        <c:ser>
          <c:idx val="20"/>
          <c:order val="18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2'!$AF$9</c:f>
              <c:numCache>
                <c:formatCode>General</c:formatCode>
                <c:ptCount val="1"/>
                <c:pt idx="0">
                  <c:v>-0.142072</c:v>
                </c:pt>
              </c:numCache>
            </c:numRef>
          </c:xVal>
          <c:yVal>
            <c:numRef>
              <c:f>'CGShiftStudy 2'!$AG$9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A3B-4BC7-9F03-45103FCCEADA}"/>
            </c:ext>
          </c:extLst>
        </c:ser>
        <c:ser>
          <c:idx val="21"/>
          <c:order val="19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2'!$AH$9</c:f>
              <c:numCache>
                <c:formatCode>General</c:formatCode>
                <c:ptCount val="1"/>
                <c:pt idx="0">
                  <c:v>-0.33420699999999998</c:v>
                </c:pt>
              </c:numCache>
            </c:numRef>
          </c:xVal>
          <c:yVal>
            <c:numRef>
              <c:f>'CGShiftStudy 2'!$AI$9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A3B-4BC7-9F03-45103FCCEADA}"/>
            </c:ext>
          </c:extLst>
        </c:ser>
        <c:ser>
          <c:idx val="22"/>
          <c:order val="20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2'!$V$20</c:f>
              <c:numCache>
                <c:formatCode>General</c:formatCode>
                <c:ptCount val="1"/>
                <c:pt idx="0">
                  <c:v>1.3191700000000001E-2</c:v>
                </c:pt>
              </c:numCache>
            </c:numRef>
          </c:xVal>
          <c:yVal>
            <c:numRef>
              <c:f>'CGShiftStudy 2'!$W$20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A3B-4BC7-9F03-45103FCCEADA}"/>
            </c:ext>
          </c:extLst>
        </c:ser>
        <c:ser>
          <c:idx val="23"/>
          <c:order val="21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2'!$X$20</c:f>
              <c:numCache>
                <c:formatCode>General</c:formatCode>
                <c:ptCount val="1"/>
                <c:pt idx="0">
                  <c:v>2.0283499999999999E-2</c:v>
                </c:pt>
              </c:numCache>
            </c:numRef>
          </c:xVal>
          <c:yVal>
            <c:numRef>
              <c:f>'CGShiftStudy 2'!$Y$20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A3B-4BC7-9F03-45103FCCEADA}"/>
            </c:ext>
          </c:extLst>
        </c:ser>
        <c:ser>
          <c:idx val="24"/>
          <c:order val="22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2'!$AB$20</c:f>
              <c:numCache>
                <c:formatCode>General</c:formatCode>
                <c:ptCount val="1"/>
                <c:pt idx="0">
                  <c:v>6.8088099999999999E-2</c:v>
                </c:pt>
              </c:numCache>
            </c:numRef>
          </c:xVal>
          <c:yVal>
            <c:numRef>
              <c:f>'CGShiftStudy 2'!$AC$20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A3B-4BC7-9F03-45103FCCEADA}"/>
            </c:ext>
          </c:extLst>
        </c:ser>
        <c:ser>
          <c:idx val="26"/>
          <c:order val="23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2'!$AF$20</c:f>
              <c:numCache>
                <c:formatCode>General</c:formatCode>
                <c:ptCount val="1"/>
                <c:pt idx="0">
                  <c:v>-1.9947900000000001E-2</c:v>
                </c:pt>
              </c:numCache>
            </c:numRef>
          </c:xVal>
          <c:yVal>
            <c:numRef>
              <c:f>'CGShiftStudy 2'!$AG$20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A3B-4BC7-9F03-45103FCCEADA}"/>
            </c:ext>
          </c:extLst>
        </c:ser>
        <c:ser>
          <c:idx val="27"/>
          <c:order val="24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2'!$AH$20</c:f>
              <c:numCache>
                <c:formatCode>General</c:formatCode>
                <c:ptCount val="1"/>
                <c:pt idx="0">
                  <c:v>7.7966199999999998E-3</c:v>
                </c:pt>
              </c:numCache>
            </c:numRef>
          </c:xVal>
          <c:yVal>
            <c:numRef>
              <c:f>'CGShiftStudy 2'!$AI$20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A3B-4BC7-9F03-45103FCCEADA}"/>
            </c:ext>
          </c:extLst>
        </c:ser>
        <c:ser>
          <c:idx val="9"/>
          <c:order val="25"/>
          <c:tx>
            <c:v>BOX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'CGShiftStudy 2'!$AK$15:$AK$18</c:f>
              <c:numCache>
                <c:formatCode>General</c:formatCode>
                <c:ptCount val="4"/>
                <c:pt idx="0">
                  <c:v>-0.03</c:v>
                </c:pt>
                <c:pt idx="1">
                  <c:v>-0.03</c:v>
                </c:pt>
                <c:pt idx="2">
                  <c:v>0.03</c:v>
                </c:pt>
                <c:pt idx="3">
                  <c:v>0.03</c:v>
                </c:pt>
              </c:numCache>
            </c:numRef>
          </c:xVal>
          <c:yVal>
            <c:numRef>
              <c:f>'CGShiftStudy 2'!$AL$15:$AL$18</c:f>
              <c:numCache>
                <c:formatCode>General</c:formatCode>
                <c:ptCount val="4"/>
                <c:pt idx="0">
                  <c:v>-0.25</c:v>
                </c:pt>
                <c:pt idx="1">
                  <c:v>0.25</c:v>
                </c:pt>
                <c:pt idx="2">
                  <c:v>-0.25</c:v>
                </c:pt>
                <c:pt idx="3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A3B-4BC7-9F03-45103FCCE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in val="-0.35000000000000003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470739464858561"/>
          <c:y val="3.349537037037037E-2"/>
          <c:w val="0.1249485090405366"/>
          <c:h val="0.1337255759696704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2'!$D$10:$D$11</c:f>
              <c:numCache>
                <c:formatCode>0.00</c:formatCode>
                <c:ptCount val="2"/>
                <c:pt idx="0">
                  <c:v>-0.19905200000000001</c:v>
                </c:pt>
                <c:pt idx="1">
                  <c:v>-0.19905200000000001</c:v>
                </c:pt>
              </c:numCache>
            </c:numRef>
          </c:xVal>
          <c:yVal>
            <c:numRef>
              <c:f>'CGShiftStudy 2'!$E$10:$E$11</c:f>
              <c:numCache>
                <c:formatCode>0.00</c:formatCode>
                <c:ptCount val="2"/>
                <c:pt idx="0">
                  <c:v>3.84171</c:v>
                </c:pt>
                <c:pt idx="1">
                  <c:v>-3.84171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3-4C31-B798-ECF312E7FC27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2'!$D$21:$D$22</c:f>
              <c:numCache>
                <c:formatCode>General</c:formatCode>
                <c:ptCount val="2"/>
                <c:pt idx="0">
                  <c:v>-0.14661099999999999</c:v>
                </c:pt>
                <c:pt idx="1">
                  <c:v>-0.14661099999999999</c:v>
                </c:pt>
              </c:numCache>
            </c:numRef>
          </c:xVal>
          <c:yVal>
            <c:numRef>
              <c:f>'CGShiftStudy 2'!$E$21:$E$22</c:f>
              <c:numCache>
                <c:formatCode>General</c:formatCode>
                <c:ptCount val="2"/>
                <c:pt idx="0">
                  <c:v>3.8907500000000002</c:v>
                </c:pt>
                <c:pt idx="1">
                  <c:v>-3.8907500000000002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3-4C31-B798-ECF312E7FC27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2'!$T$10:$T$11</c:f>
              <c:numCache>
                <c:formatCode>General</c:formatCode>
                <c:ptCount val="2"/>
                <c:pt idx="0">
                  <c:v>-6.2009000000000002E-2</c:v>
                </c:pt>
                <c:pt idx="1">
                  <c:v>-6.2009000000000002E-2</c:v>
                </c:pt>
              </c:numCache>
            </c:numRef>
          </c:xVal>
          <c:yVal>
            <c:numRef>
              <c:f>'CGShiftStudy 2'!$U$10:$U$11</c:f>
              <c:numCache>
                <c:formatCode>General</c:formatCode>
                <c:ptCount val="2"/>
                <c:pt idx="0">
                  <c:v>-0.68281000000000003</c:v>
                </c:pt>
                <c:pt idx="1">
                  <c:v>0.68281000000000003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3-4C31-B798-ECF312E7FC27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2'!$T$21:$T$22</c:f>
              <c:numCache>
                <c:formatCode>General</c:formatCode>
                <c:ptCount val="2"/>
                <c:pt idx="0">
                  <c:v>-6.52195E-2</c:v>
                </c:pt>
                <c:pt idx="1">
                  <c:v>-6.52195E-2</c:v>
                </c:pt>
              </c:numCache>
            </c:numRef>
          </c:xVal>
          <c:yVal>
            <c:numRef>
              <c:f>'CGShiftStudy 2'!$U$21:$U$22</c:f>
              <c:numCache>
                <c:formatCode>General</c:formatCode>
                <c:ptCount val="2"/>
                <c:pt idx="0">
                  <c:v>0.80244899999999997</c:v>
                </c:pt>
                <c:pt idx="1">
                  <c:v>-0.80244899999999997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53-4C31-B798-ECF312E7FC27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2'!$F$10:$F$11</c:f>
              <c:numCache>
                <c:formatCode>General</c:formatCode>
                <c:ptCount val="2"/>
                <c:pt idx="0">
                  <c:v>-0.19623499999999999</c:v>
                </c:pt>
                <c:pt idx="1">
                  <c:v>-0.19623499999999999</c:v>
                </c:pt>
              </c:numCache>
            </c:numRef>
          </c:xVal>
          <c:yVal>
            <c:numRef>
              <c:f>'CGShiftStudy 2'!$G$10:$G$11</c:f>
              <c:numCache>
                <c:formatCode>General</c:formatCode>
                <c:ptCount val="2"/>
                <c:pt idx="0">
                  <c:v>3.79793</c:v>
                </c:pt>
                <c:pt idx="1">
                  <c:v>-3.79793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53-4C31-B798-ECF312E7FC27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2'!$H$10:$H$11</c:f>
              <c:numCache>
                <c:formatCode>General</c:formatCode>
                <c:ptCount val="2"/>
                <c:pt idx="0">
                  <c:v>-0.193386</c:v>
                </c:pt>
                <c:pt idx="1">
                  <c:v>-0.193386</c:v>
                </c:pt>
              </c:numCache>
            </c:numRef>
          </c:xVal>
          <c:yVal>
            <c:numRef>
              <c:f>'CGShiftStudy 2'!$I$10:$I$11</c:f>
              <c:numCache>
                <c:formatCode>General</c:formatCode>
                <c:ptCount val="2"/>
                <c:pt idx="0">
                  <c:v>3.7536700000000001</c:v>
                </c:pt>
                <c:pt idx="1">
                  <c:v>-3.7536700000000001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53-4C31-B798-ECF312E7FC27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2'!$J$10:$J$11</c:f>
              <c:numCache>
                <c:formatCode>General</c:formatCode>
                <c:ptCount val="2"/>
                <c:pt idx="0">
                  <c:v>-0.190502</c:v>
                </c:pt>
                <c:pt idx="1">
                  <c:v>-0.190502</c:v>
                </c:pt>
              </c:numCache>
            </c:numRef>
          </c:xVal>
          <c:yVal>
            <c:numRef>
              <c:f>'CGShiftStudy 2'!$K$10:$K$11</c:f>
              <c:numCache>
                <c:formatCode>General</c:formatCode>
                <c:ptCount val="2"/>
                <c:pt idx="0">
                  <c:v>3.70892</c:v>
                </c:pt>
                <c:pt idx="1">
                  <c:v>-3.70892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53-4C31-B798-ECF312E7FC27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2'!$N$10:$N$11</c:f>
              <c:numCache>
                <c:formatCode>General</c:formatCode>
                <c:ptCount val="2"/>
                <c:pt idx="0">
                  <c:v>-0.187583</c:v>
                </c:pt>
                <c:pt idx="1">
                  <c:v>-0.187583</c:v>
                </c:pt>
              </c:numCache>
            </c:numRef>
          </c:xVal>
          <c:yVal>
            <c:numRef>
              <c:f>'CGShiftStudy 2'!$O$10:$O$11</c:f>
              <c:numCache>
                <c:formatCode>General</c:formatCode>
                <c:ptCount val="2"/>
                <c:pt idx="0">
                  <c:v>3.66364</c:v>
                </c:pt>
                <c:pt idx="1">
                  <c:v>-3.66364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953-4C31-B798-ECF312E7FC27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2'!$P$10:$P$11</c:f>
              <c:numCache>
                <c:formatCode>General</c:formatCode>
                <c:ptCount val="2"/>
                <c:pt idx="0">
                  <c:v>-0.18462500000000001</c:v>
                </c:pt>
                <c:pt idx="1">
                  <c:v>-0.18462500000000001</c:v>
                </c:pt>
              </c:numCache>
            </c:numRef>
          </c:xVal>
          <c:yVal>
            <c:numRef>
              <c:f>'CGShiftStudy 2'!$Q$10:$Q$11</c:f>
              <c:numCache>
                <c:formatCode>General</c:formatCode>
                <c:ptCount val="2"/>
                <c:pt idx="0">
                  <c:v>3.6178300000000001</c:v>
                </c:pt>
                <c:pt idx="1">
                  <c:v>-3.6178300000000001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53-4C31-B798-ECF312E7FC27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2'!$F$21:$F$22</c:f>
              <c:numCache>
                <c:formatCode>General</c:formatCode>
                <c:ptCount val="2"/>
                <c:pt idx="0">
                  <c:v>-0.14397299999999999</c:v>
                </c:pt>
                <c:pt idx="1">
                  <c:v>-0.14397299999999999</c:v>
                </c:pt>
              </c:numCache>
            </c:numRef>
          </c:xVal>
          <c:yVal>
            <c:numRef>
              <c:f>'CGShiftStudy 2'!$G$21:$G$22</c:f>
              <c:numCache>
                <c:formatCode>General</c:formatCode>
                <c:ptCount val="2"/>
                <c:pt idx="0">
                  <c:v>3.8464100000000001</c:v>
                </c:pt>
                <c:pt idx="1">
                  <c:v>-3.8464100000000001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953-4C31-B798-ECF312E7FC27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2'!$H$21:$H$22</c:f>
              <c:numCache>
                <c:formatCode>General</c:formatCode>
                <c:ptCount val="2"/>
                <c:pt idx="0">
                  <c:v>-0.141296</c:v>
                </c:pt>
                <c:pt idx="1">
                  <c:v>-0.141296</c:v>
                </c:pt>
              </c:numCache>
            </c:numRef>
          </c:xVal>
          <c:yVal>
            <c:numRef>
              <c:f>'CGShiftStudy 2'!$I$21:$I$22</c:f>
              <c:numCache>
                <c:formatCode>General</c:formatCode>
                <c:ptCount val="2"/>
                <c:pt idx="0">
                  <c:v>3.8016299999999998</c:v>
                </c:pt>
                <c:pt idx="1">
                  <c:v>-3.8016299999999998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953-4C31-B798-ECF312E7FC27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2'!$J$21:$J$22</c:f>
              <c:numCache>
                <c:formatCode>General</c:formatCode>
                <c:ptCount val="2"/>
                <c:pt idx="0">
                  <c:v>-0.138576</c:v>
                </c:pt>
                <c:pt idx="1">
                  <c:v>-0.138576</c:v>
                </c:pt>
              </c:numCache>
            </c:numRef>
          </c:xVal>
          <c:yVal>
            <c:numRef>
              <c:f>'CGShiftStudy 2'!$K$21:$K$22</c:f>
              <c:numCache>
                <c:formatCode>General</c:formatCode>
                <c:ptCount val="2"/>
                <c:pt idx="0">
                  <c:v>3.7563800000000001</c:v>
                </c:pt>
                <c:pt idx="1">
                  <c:v>-3.7563800000000001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953-4C31-B798-ECF312E7FC27}"/>
            </c:ext>
          </c:extLst>
        </c:ser>
        <c:ser>
          <c:idx val="14"/>
          <c:order val="12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2'!$N$21:$N$22</c:f>
              <c:numCache>
                <c:formatCode>General</c:formatCode>
                <c:ptCount val="2"/>
                <c:pt idx="0">
                  <c:v>-0.13581199999999999</c:v>
                </c:pt>
                <c:pt idx="1">
                  <c:v>-0.13581199999999999</c:v>
                </c:pt>
              </c:numCache>
            </c:numRef>
          </c:xVal>
          <c:yVal>
            <c:numRef>
              <c:f>'CGShiftStudy 2'!$O$21:$O$22</c:f>
              <c:numCache>
                <c:formatCode>General</c:formatCode>
                <c:ptCount val="2"/>
                <c:pt idx="0">
                  <c:v>3.7106499999999998</c:v>
                </c:pt>
                <c:pt idx="1">
                  <c:v>-3.7106499999999998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953-4C31-B798-ECF312E7FC27}"/>
            </c:ext>
          </c:extLst>
        </c:ser>
        <c:ser>
          <c:idx val="15"/>
          <c:order val="13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2'!$P$21:$P$22</c:f>
              <c:numCache>
                <c:formatCode>General</c:formatCode>
                <c:ptCount val="2"/>
                <c:pt idx="0">
                  <c:v>-0.13300200000000001</c:v>
                </c:pt>
                <c:pt idx="1">
                  <c:v>-0.13300200000000001</c:v>
                </c:pt>
              </c:numCache>
            </c:numRef>
          </c:xVal>
          <c:yVal>
            <c:numRef>
              <c:f>'CGShiftStudy 2'!$Q$21:$Q$22</c:f>
              <c:numCache>
                <c:formatCode>General</c:formatCode>
                <c:ptCount val="2"/>
                <c:pt idx="0">
                  <c:v>3.6644000000000001</c:v>
                </c:pt>
                <c:pt idx="1">
                  <c:v>-3.6644000000000001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953-4C31-B798-ECF312E7FC27}"/>
            </c:ext>
          </c:extLst>
        </c:ser>
        <c:ser>
          <c:idx val="16"/>
          <c:order val="14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2'!$V$10:$V$11</c:f>
              <c:numCache>
                <c:formatCode>General</c:formatCode>
                <c:ptCount val="2"/>
                <c:pt idx="0">
                  <c:v>-5.8445499999999997E-2</c:v>
                </c:pt>
                <c:pt idx="1">
                  <c:v>-5.8445499999999997E-2</c:v>
                </c:pt>
              </c:numCache>
            </c:numRef>
          </c:xVal>
          <c:yVal>
            <c:numRef>
              <c:f>'CGShiftStudy 2'!$W$10:$W$11</c:f>
              <c:numCache>
                <c:formatCode>General</c:formatCode>
                <c:ptCount val="2"/>
                <c:pt idx="0">
                  <c:v>0.603302</c:v>
                </c:pt>
                <c:pt idx="1">
                  <c:v>-0.603302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953-4C31-B798-ECF312E7FC27}"/>
            </c:ext>
          </c:extLst>
        </c:ser>
        <c:ser>
          <c:idx val="17"/>
          <c:order val="15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2'!$X$10:$X$11</c:f>
              <c:numCache>
                <c:formatCode>General</c:formatCode>
                <c:ptCount val="2"/>
                <c:pt idx="0">
                  <c:v>-5.2583199999999997E-2</c:v>
                </c:pt>
                <c:pt idx="1">
                  <c:v>-5.2583199999999997E-2</c:v>
                </c:pt>
              </c:numCache>
            </c:numRef>
          </c:xVal>
          <c:yVal>
            <c:numRef>
              <c:f>'CGShiftStudy 2'!$Y$10:$Y$11</c:f>
              <c:numCache>
                <c:formatCode>General</c:formatCode>
                <c:ptCount val="2"/>
                <c:pt idx="0">
                  <c:v>0.511652</c:v>
                </c:pt>
                <c:pt idx="1">
                  <c:v>-0.511652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953-4C31-B798-ECF312E7FC27}"/>
            </c:ext>
          </c:extLst>
        </c:ser>
        <c:ser>
          <c:idx val="18"/>
          <c:order val="16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2'!$AB$10:$AB$11</c:f>
              <c:numCache>
                <c:formatCode>General</c:formatCode>
                <c:ptCount val="2"/>
                <c:pt idx="0">
                  <c:v>-4.0012699999999998E-2</c:v>
                </c:pt>
                <c:pt idx="1">
                  <c:v>-4.0012699999999998E-2</c:v>
                </c:pt>
              </c:numCache>
            </c:numRef>
          </c:xVal>
          <c:yVal>
            <c:numRef>
              <c:f>'CGShiftStudy 2'!$AC$10:$AC$11</c:f>
              <c:numCache>
                <c:formatCode>General</c:formatCode>
                <c:ptCount val="2"/>
                <c:pt idx="0">
                  <c:v>0.39991599999999999</c:v>
                </c:pt>
                <c:pt idx="1">
                  <c:v>-0.39991599999999999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953-4C31-B798-ECF312E7FC27}"/>
            </c:ext>
          </c:extLst>
        </c:ser>
        <c:ser>
          <c:idx val="19"/>
          <c:order val="17"/>
          <c:tx>
            <c:v>B 0 0.21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2'!$AD$10:$AD$11</c:f>
              <c:numCache>
                <c:formatCode>General</c:formatCode>
                <c:ptCount val="2"/>
                <c:pt idx="0">
                  <c:v>1.66292E-3</c:v>
                </c:pt>
                <c:pt idx="1">
                  <c:v>1.66292E-3</c:v>
                </c:pt>
              </c:numCache>
            </c:numRef>
          </c:xVal>
          <c:yVal>
            <c:numRef>
              <c:f>'CGShiftStudy 2'!$AE$10:$AE$11</c:f>
              <c:numCache>
                <c:formatCode>General</c:formatCode>
                <c:ptCount val="2"/>
                <c:pt idx="0">
                  <c:v>0.263629</c:v>
                </c:pt>
                <c:pt idx="1">
                  <c:v>-0.263629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953-4C31-B798-ECF312E7FC27}"/>
            </c:ext>
          </c:extLst>
        </c:ser>
        <c:ser>
          <c:idx val="20"/>
          <c:order val="18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2'!$AF$10:$AF$11</c:f>
              <c:numCache>
                <c:formatCode>General</c:formatCode>
                <c:ptCount val="2"/>
                <c:pt idx="0">
                  <c:v>5.9771099999999999E-3</c:v>
                </c:pt>
                <c:pt idx="1">
                  <c:v>5.9771099999999999E-3</c:v>
                </c:pt>
              </c:numCache>
            </c:numRef>
          </c:xVal>
          <c:yVal>
            <c:numRef>
              <c:f>'CGShiftStudy 2'!$AG$10:$AG$11</c:f>
              <c:numCache>
                <c:formatCode>General</c:formatCode>
                <c:ptCount val="2"/>
                <c:pt idx="0">
                  <c:v>0.25620599999999999</c:v>
                </c:pt>
                <c:pt idx="1">
                  <c:v>-0.25620599999999999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953-4C31-B798-ECF312E7FC27}"/>
            </c:ext>
          </c:extLst>
        </c:ser>
        <c:ser>
          <c:idx val="21"/>
          <c:order val="19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2'!$AH$10:$AH$11</c:f>
              <c:numCache>
                <c:formatCode>General</c:formatCode>
                <c:ptCount val="2"/>
                <c:pt idx="0">
                  <c:v>0.102576</c:v>
                </c:pt>
                <c:pt idx="1">
                  <c:v>0.102576</c:v>
                </c:pt>
              </c:numCache>
            </c:numRef>
          </c:xVal>
          <c:yVal>
            <c:numRef>
              <c:f>'CGShiftStudy 2'!$AI$10:$AI$11</c:f>
              <c:numCache>
                <c:formatCode>General</c:formatCode>
                <c:ptCount val="2"/>
                <c:pt idx="0">
                  <c:v>0.143149</c:v>
                </c:pt>
                <c:pt idx="1">
                  <c:v>-0.143149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953-4C31-B798-ECF312E7FC27}"/>
            </c:ext>
          </c:extLst>
        </c:ser>
        <c:ser>
          <c:idx val="22"/>
          <c:order val="20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2'!$V$21:$V$22</c:f>
              <c:numCache>
                <c:formatCode>General</c:formatCode>
                <c:ptCount val="2"/>
                <c:pt idx="0">
                  <c:v>-6.4934800000000001E-2</c:v>
                </c:pt>
                <c:pt idx="1">
                  <c:v>-6.4934800000000001E-2</c:v>
                </c:pt>
              </c:numCache>
            </c:numRef>
          </c:xVal>
          <c:yVal>
            <c:numRef>
              <c:f>'CGShiftStudy 2'!$W$21:$W$22</c:f>
              <c:numCache>
                <c:formatCode>General</c:formatCode>
                <c:ptCount val="2"/>
                <c:pt idx="0">
                  <c:v>0.73017699999999996</c:v>
                </c:pt>
                <c:pt idx="1">
                  <c:v>-0.73017699999999996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953-4C31-B798-ECF312E7FC27}"/>
            </c:ext>
          </c:extLst>
        </c:ser>
        <c:ser>
          <c:idx val="23"/>
          <c:order val="21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2'!$X$21:$X$22</c:f>
              <c:numCache>
                <c:formatCode>General</c:formatCode>
                <c:ptCount val="2"/>
                <c:pt idx="0">
                  <c:v>-6.8960400000000005E-2</c:v>
                </c:pt>
                <c:pt idx="1">
                  <c:v>-6.8960400000000005E-2</c:v>
                </c:pt>
              </c:numCache>
            </c:numRef>
          </c:xVal>
          <c:yVal>
            <c:numRef>
              <c:f>'CGShiftStudy 2'!$Y$21:$Y$22</c:f>
              <c:numCache>
                <c:formatCode>General</c:formatCode>
                <c:ptCount val="2"/>
                <c:pt idx="0">
                  <c:v>0.64769900000000002</c:v>
                </c:pt>
                <c:pt idx="1">
                  <c:v>-0.64769900000000002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953-4C31-B798-ECF312E7FC27}"/>
            </c:ext>
          </c:extLst>
        </c:ser>
        <c:ser>
          <c:idx val="24"/>
          <c:order val="22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2'!$AB$21:$AB$22</c:f>
              <c:numCache>
                <c:formatCode>General</c:formatCode>
                <c:ptCount val="2"/>
                <c:pt idx="0">
                  <c:v>-0.14483499999999999</c:v>
                </c:pt>
                <c:pt idx="1">
                  <c:v>-0.14483499999999999</c:v>
                </c:pt>
              </c:numCache>
            </c:numRef>
          </c:xVal>
          <c:yVal>
            <c:numRef>
              <c:f>'CGShiftStudy 2'!$AC$21:$AC$22</c:f>
              <c:numCache>
                <c:formatCode>General</c:formatCode>
                <c:ptCount val="2"/>
                <c:pt idx="0">
                  <c:v>0.55261800000000005</c:v>
                </c:pt>
                <c:pt idx="1">
                  <c:v>-0.55261800000000005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953-4C31-B798-ECF312E7FC27}"/>
            </c:ext>
          </c:extLst>
        </c:ser>
        <c:ser>
          <c:idx val="26"/>
          <c:order val="23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2'!$AF$21:$AF$22</c:f>
              <c:numCache>
                <c:formatCode>General</c:formatCode>
                <c:ptCount val="2"/>
                <c:pt idx="0">
                  <c:v>-0.26825100000000002</c:v>
                </c:pt>
                <c:pt idx="1">
                  <c:v>-0.26825100000000002</c:v>
                </c:pt>
              </c:numCache>
            </c:numRef>
          </c:xVal>
          <c:yVal>
            <c:numRef>
              <c:f>'CGShiftStudy 2'!$AG$21:$AG$22</c:f>
              <c:numCache>
                <c:formatCode>General</c:formatCode>
                <c:ptCount val="2"/>
                <c:pt idx="0">
                  <c:v>1.03287</c:v>
                </c:pt>
                <c:pt idx="1">
                  <c:v>-1.03287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953-4C31-B798-ECF312E7FC27}"/>
            </c:ext>
          </c:extLst>
        </c:ser>
        <c:ser>
          <c:idx val="27"/>
          <c:order val="24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2'!$AH$21:$AH$22</c:f>
              <c:numCache>
                <c:formatCode>General</c:formatCode>
                <c:ptCount val="2"/>
                <c:pt idx="0">
                  <c:v>-0.41409899999999999</c:v>
                </c:pt>
                <c:pt idx="1">
                  <c:v>-0.41409899999999999</c:v>
                </c:pt>
              </c:numCache>
            </c:numRef>
          </c:xVal>
          <c:yVal>
            <c:numRef>
              <c:f>'CGShiftStudy 2'!$AI$21:$AI$22</c:f>
              <c:numCache>
                <c:formatCode>General</c:formatCode>
                <c:ptCount val="2"/>
                <c:pt idx="0">
                  <c:v>3.2274500000000002</c:v>
                </c:pt>
                <c:pt idx="1">
                  <c:v>-3.2274500000000002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953-4C31-B798-ECF312E7F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5.000000000000001E-2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2.886574074074074E-2"/>
          <c:w val="0.16337801200145574"/>
          <c:h val="0.134218248760571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2'!$D$4:$D$5</c:f>
              <c:numCache>
                <c:formatCode>0.00</c:formatCode>
                <c:ptCount val="2"/>
                <c:pt idx="0">
                  <c:v>-0.92402099999999998</c:v>
                </c:pt>
                <c:pt idx="1">
                  <c:v>-0.92402099999999998</c:v>
                </c:pt>
              </c:numCache>
            </c:numRef>
          </c:xVal>
          <c:yVal>
            <c:numRef>
              <c:f>'CGShiftStudy 2'!$E$4:$E$5</c:f>
              <c:numCache>
                <c:formatCode>0.00</c:formatCode>
                <c:ptCount val="2"/>
                <c:pt idx="0">
                  <c:v>2.1114099999999998</c:v>
                </c:pt>
                <c:pt idx="1">
                  <c:v>-2.1114099999999998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B-46B5-853B-7187F3EB3A33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2'!$D$15:$D$16</c:f>
              <c:numCache>
                <c:formatCode>General</c:formatCode>
                <c:ptCount val="2"/>
                <c:pt idx="0">
                  <c:v>-0.89271299999999998</c:v>
                </c:pt>
                <c:pt idx="1">
                  <c:v>-0.89271299999999998</c:v>
                </c:pt>
              </c:numCache>
            </c:numRef>
          </c:xVal>
          <c:yVal>
            <c:numRef>
              <c:f>'CGShiftStudy 2'!$E$15:$E$16</c:f>
              <c:numCache>
                <c:formatCode>General</c:formatCode>
                <c:ptCount val="2"/>
                <c:pt idx="0">
                  <c:v>2.0456099999999999</c:v>
                </c:pt>
                <c:pt idx="1">
                  <c:v>-2.0456099999999999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1B-46B5-853B-7187F3EB3A33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2'!$T$4:$T$5</c:f>
              <c:numCache>
                <c:formatCode>General</c:formatCode>
                <c:ptCount val="2"/>
                <c:pt idx="0">
                  <c:v>-0.93060500000000002</c:v>
                </c:pt>
                <c:pt idx="1">
                  <c:v>-0.93060500000000002</c:v>
                </c:pt>
              </c:numCache>
            </c:numRef>
          </c:xVal>
          <c:yVal>
            <c:numRef>
              <c:f>'CGShiftStudy 2'!$U$4:$U$5</c:f>
              <c:numCache>
                <c:formatCode>General</c:formatCode>
                <c:ptCount val="2"/>
                <c:pt idx="0">
                  <c:v>2.0134400000000001</c:v>
                </c:pt>
                <c:pt idx="1">
                  <c:v>-2.0134400000000001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1B-46B5-853B-7187F3EB3A33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2'!$T$15:$T$16</c:f>
              <c:numCache>
                <c:formatCode>General</c:formatCode>
                <c:ptCount val="2"/>
                <c:pt idx="0">
                  <c:v>-0.89757299999999995</c:v>
                </c:pt>
                <c:pt idx="1">
                  <c:v>-0.89757299999999995</c:v>
                </c:pt>
              </c:numCache>
            </c:numRef>
          </c:xVal>
          <c:yVal>
            <c:numRef>
              <c:f>'CGShiftStudy 2'!$U$15:$U$16</c:f>
              <c:numCache>
                <c:formatCode>General</c:formatCode>
                <c:ptCount val="2"/>
                <c:pt idx="0">
                  <c:v>1.9421200000000001</c:v>
                </c:pt>
                <c:pt idx="1">
                  <c:v>-1.9421200000000001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1B-46B5-853B-7187F3EB3A33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2'!$F$4:$F$5</c:f>
              <c:numCache>
                <c:formatCode>General</c:formatCode>
                <c:ptCount val="2"/>
                <c:pt idx="0">
                  <c:v>-0.88569399999999998</c:v>
                </c:pt>
                <c:pt idx="1">
                  <c:v>-0.88569399999999998</c:v>
                </c:pt>
              </c:numCache>
            </c:numRef>
          </c:xVal>
          <c:yVal>
            <c:numRef>
              <c:f>'CGShiftStudy 2'!$G$4:$G$5</c:f>
              <c:numCache>
                <c:formatCode>General</c:formatCode>
                <c:ptCount val="2"/>
                <c:pt idx="0">
                  <c:v>1.81795</c:v>
                </c:pt>
                <c:pt idx="1">
                  <c:v>-1.81795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1B-46B5-853B-7187F3EB3A33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2'!$H$4:$H$5</c:f>
              <c:numCache>
                <c:formatCode>General</c:formatCode>
                <c:ptCount val="2"/>
                <c:pt idx="0">
                  <c:v>-0.84735300000000002</c:v>
                </c:pt>
                <c:pt idx="1">
                  <c:v>-0.84735300000000002</c:v>
                </c:pt>
              </c:numCache>
            </c:numRef>
          </c:xVal>
          <c:yVal>
            <c:numRef>
              <c:f>'CGShiftStudy 2'!$I$4:$I$5</c:f>
              <c:numCache>
                <c:formatCode>General</c:formatCode>
                <c:ptCount val="2"/>
                <c:pt idx="0">
                  <c:v>1.4659500000000001</c:v>
                </c:pt>
                <c:pt idx="1">
                  <c:v>-1.4659500000000001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1B-46B5-853B-7187F3EB3A33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2'!$J$4:$J$5</c:f>
              <c:numCache>
                <c:formatCode>General</c:formatCode>
                <c:ptCount val="2"/>
                <c:pt idx="0">
                  <c:v>-0.80879100000000004</c:v>
                </c:pt>
                <c:pt idx="1">
                  <c:v>-0.80879100000000004</c:v>
                </c:pt>
              </c:numCache>
            </c:numRef>
          </c:xVal>
          <c:yVal>
            <c:numRef>
              <c:f>'CGShiftStudy 2'!$K$4:$K$5</c:f>
              <c:numCache>
                <c:formatCode>General</c:formatCode>
                <c:ptCount val="2"/>
                <c:pt idx="0">
                  <c:v>0.99512400000000001</c:v>
                </c:pt>
                <c:pt idx="1">
                  <c:v>-0.99512400000000001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1B-46B5-853B-7187F3EB3A33}"/>
            </c:ext>
          </c:extLst>
        </c:ser>
        <c:ser>
          <c:idx val="9"/>
          <c:order val="7"/>
          <c:tx>
            <c:v>F 0 0.23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2'!$L$4:$L$5</c:f>
              <c:numCache>
                <c:formatCode>General</c:formatCode>
                <c:ptCount val="2"/>
                <c:pt idx="0">
                  <c:v>-0.79938100000000001</c:v>
                </c:pt>
                <c:pt idx="1">
                  <c:v>-0.74395999999999995</c:v>
                </c:pt>
              </c:numCache>
            </c:numRef>
          </c:xVal>
          <c:yVal>
            <c:numRef>
              <c:f>'CGShiftStudy 2'!$M$4:$M$5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1B-46B5-853B-7187F3EB3A33}"/>
            </c:ext>
          </c:extLst>
        </c:ser>
        <c:ser>
          <c:idx val="7"/>
          <c:order val="8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2'!$N$4:$N$5</c:f>
              <c:numCache>
                <c:formatCode>General</c:formatCode>
                <c:ptCount val="2"/>
                <c:pt idx="0">
                  <c:v>-1.18703</c:v>
                </c:pt>
                <c:pt idx="1">
                  <c:v>-0.32985999999999999</c:v>
                </c:pt>
              </c:numCache>
            </c:numRef>
          </c:xVal>
          <c:yVal>
            <c:numRef>
              <c:f>'CGShiftStudy 2'!$O$4:$O$5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31B-46B5-853B-7187F3EB3A33}"/>
            </c:ext>
          </c:extLst>
        </c:ser>
        <c:ser>
          <c:idx val="8"/>
          <c:order val="9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2'!$P$4:$P$5</c:f>
              <c:numCache>
                <c:formatCode>General</c:formatCode>
                <c:ptCount val="2"/>
                <c:pt idx="0">
                  <c:v>-1.88896</c:v>
                </c:pt>
                <c:pt idx="1">
                  <c:v>0.43648399999999998</c:v>
                </c:pt>
              </c:numCache>
            </c:numRef>
          </c:xVal>
          <c:yVal>
            <c:numRef>
              <c:f>'CGShiftStudy 2'!$Q$4:$Q$5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1B-46B5-853B-7187F3EB3A33}"/>
            </c:ext>
          </c:extLst>
        </c:ser>
        <c:ser>
          <c:idx val="10"/>
          <c:order val="10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2'!$F$15:$F$16</c:f>
              <c:numCache>
                <c:formatCode>General</c:formatCode>
                <c:ptCount val="2"/>
                <c:pt idx="0">
                  <c:v>-0.85643100000000005</c:v>
                </c:pt>
                <c:pt idx="1">
                  <c:v>-0.85643100000000005</c:v>
                </c:pt>
              </c:numCache>
            </c:numRef>
          </c:xVal>
          <c:yVal>
            <c:numRef>
              <c:f>'CGShiftStudy 2'!$G$15:$G$16</c:f>
              <c:numCache>
                <c:formatCode>General</c:formatCode>
                <c:ptCount val="2"/>
                <c:pt idx="0">
                  <c:v>1.7562800000000001</c:v>
                </c:pt>
                <c:pt idx="1">
                  <c:v>-1.7562800000000001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31B-46B5-853B-7187F3EB3A33}"/>
            </c:ext>
          </c:extLst>
        </c:ser>
        <c:ser>
          <c:idx val="11"/>
          <c:order val="11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2'!$H$15:$H$16</c:f>
              <c:numCache>
                <c:formatCode>General</c:formatCode>
                <c:ptCount val="2"/>
                <c:pt idx="0">
                  <c:v>-0.82015000000000005</c:v>
                </c:pt>
                <c:pt idx="1">
                  <c:v>-0.82015000000000005</c:v>
                </c:pt>
              </c:numCache>
            </c:numRef>
          </c:xVal>
          <c:yVal>
            <c:numRef>
              <c:f>'CGShiftStudy 2'!$I$15:$I$16</c:f>
              <c:numCache>
                <c:formatCode>General</c:formatCode>
                <c:ptCount val="2"/>
                <c:pt idx="0">
                  <c:v>1.4078299999999999</c:v>
                </c:pt>
                <c:pt idx="1">
                  <c:v>-1.4078299999999999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31B-46B5-853B-7187F3EB3A33}"/>
            </c:ext>
          </c:extLst>
        </c:ser>
        <c:ser>
          <c:idx val="12"/>
          <c:order val="12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2'!$J$15:$J$16</c:f>
              <c:numCache>
                <c:formatCode>General</c:formatCode>
                <c:ptCount val="2"/>
                <c:pt idx="0">
                  <c:v>-0.78379799999999999</c:v>
                </c:pt>
                <c:pt idx="1">
                  <c:v>-0.78379799999999999</c:v>
                </c:pt>
              </c:numCache>
            </c:numRef>
          </c:xVal>
          <c:yVal>
            <c:numRef>
              <c:f>'CGShiftStudy 2'!$K$15:$K$16</c:f>
              <c:numCache>
                <c:formatCode>General</c:formatCode>
                <c:ptCount val="2"/>
                <c:pt idx="0">
                  <c:v>0.93639300000000003</c:v>
                </c:pt>
                <c:pt idx="1">
                  <c:v>-0.93639300000000003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31B-46B5-853B-7187F3EB3A33}"/>
            </c:ext>
          </c:extLst>
        </c:ser>
        <c:ser>
          <c:idx val="13"/>
          <c:order val="13"/>
          <c:tx>
            <c:v>F 60 0.24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2'!$L$15:$L$16</c:f>
              <c:numCache>
                <c:formatCode>General</c:formatCode>
                <c:ptCount val="2"/>
                <c:pt idx="0">
                  <c:v>-0.85408399999999995</c:v>
                </c:pt>
                <c:pt idx="1">
                  <c:v>-0.65397499999999997</c:v>
                </c:pt>
              </c:numCache>
            </c:numRef>
          </c:xVal>
          <c:yVal>
            <c:numRef>
              <c:f>'CGShiftStudy 2'!$M$15:$M$16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31B-46B5-853B-7187F3EB3A33}"/>
            </c:ext>
          </c:extLst>
        </c:ser>
        <c:ser>
          <c:idx val="14"/>
          <c:order val="14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2'!$N$15:$N$16</c:f>
              <c:numCache>
                <c:formatCode>General</c:formatCode>
                <c:ptCount val="2"/>
                <c:pt idx="0">
                  <c:v>-1.22868</c:v>
                </c:pt>
                <c:pt idx="1">
                  <c:v>-0.26192700000000002</c:v>
                </c:pt>
              </c:numCache>
            </c:numRef>
          </c:xVal>
          <c:yVal>
            <c:numRef>
              <c:f>'CGShiftStudy 2'!$O$15:$O$16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31B-46B5-853B-7187F3EB3A33}"/>
            </c:ext>
          </c:extLst>
        </c:ser>
        <c:ser>
          <c:idx val="15"/>
          <c:order val="15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2'!$P$15:$P$16</c:f>
              <c:numCache>
                <c:formatCode>General</c:formatCode>
                <c:ptCount val="2"/>
                <c:pt idx="0">
                  <c:v>-1.86988</c:v>
                </c:pt>
                <c:pt idx="1">
                  <c:v>0.44540299999999999</c:v>
                </c:pt>
              </c:numCache>
            </c:numRef>
          </c:xVal>
          <c:yVal>
            <c:numRef>
              <c:f>'CGShiftStudy 2'!$Q$15:$Q$16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31B-46B5-853B-7187F3EB3A33}"/>
            </c:ext>
          </c:extLst>
        </c:ser>
        <c:ser>
          <c:idx val="16"/>
          <c:order val="16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2'!$V$4:$V$5</c:f>
              <c:numCache>
                <c:formatCode>General</c:formatCode>
                <c:ptCount val="2"/>
                <c:pt idx="0">
                  <c:v>-0.89475099999999996</c:v>
                </c:pt>
                <c:pt idx="1">
                  <c:v>-0.89475099999999996</c:v>
                </c:pt>
              </c:numCache>
            </c:numRef>
          </c:xVal>
          <c:yVal>
            <c:numRef>
              <c:f>'CGShiftStudy 2'!$W$4:$W$5</c:f>
              <c:numCache>
                <c:formatCode>General</c:formatCode>
                <c:ptCount val="2"/>
                <c:pt idx="0">
                  <c:v>1.6788799999999999</c:v>
                </c:pt>
                <c:pt idx="1">
                  <c:v>-1.6788799999999999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31B-46B5-853B-7187F3EB3A33}"/>
            </c:ext>
          </c:extLst>
        </c:ser>
        <c:ser>
          <c:idx val="17"/>
          <c:order val="17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2'!$X$4:$X$5</c:f>
              <c:numCache>
                <c:formatCode>General</c:formatCode>
                <c:ptCount val="2"/>
                <c:pt idx="0">
                  <c:v>-0.85880299999999998</c:v>
                </c:pt>
                <c:pt idx="1">
                  <c:v>-0.85880299999999998</c:v>
                </c:pt>
              </c:numCache>
            </c:numRef>
          </c:xVal>
          <c:yVal>
            <c:numRef>
              <c:f>'CGShiftStudy 2'!$Y$4:$Y$5</c:f>
              <c:numCache>
                <c:formatCode>General</c:formatCode>
                <c:ptCount val="2"/>
                <c:pt idx="0">
                  <c:v>1.25735</c:v>
                </c:pt>
                <c:pt idx="1">
                  <c:v>-1.25735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31B-46B5-853B-7187F3EB3A33}"/>
            </c:ext>
          </c:extLst>
        </c:ser>
        <c:ser>
          <c:idx val="18"/>
          <c:order val="18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2'!$AB$4:$AB$5</c:f>
              <c:numCache>
                <c:formatCode>General</c:formatCode>
                <c:ptCount val="2"/>
                <c:pt idx="0">
                  <c:v>-0.82147099999999995</c:v>
                </c:pt>
                <c:pt idx="1">
                  <c:v>-0.82147099999999995</c:v>
                </c:pt>
              </c:numCache>
            </c:numRef>
          </c:xVal>
          <c:yVal>
            <c:numRef>
              <c:f>'CGShiftStudy 2'!$AC$4:$AC$5</c:f>
              <c:numCache>
                <c:formatCode>General</c:formatCode>
                <c:ptCount val="2"/>
                <c:pt idx="0">
                  <c:v>0.58301000000000003</c:v>
                </c:pt>
                <c:pt idx="1">
                  <c:v>-0.58301000000000003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31B-46B5-853B-7187F3EB3A33}"/>
            </c:ext>
          </c:extLst>
        </c:ser>
        <c:ser>
          <c:idx val="19"/>
          <c:order val="19"/>
          <c:tx>
            <c:v>B 0 0.35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2'!$AD$4:$AD$5</c:f>
              <c:numCache>
                <c:formatCode>General</c:formatCode>
                <c:ptCount val="2"/>
                <c:pt idx="0">
                  <c:v>-0.809836</c:v>
                </c:pt>
                <c:pt idx="1">
                  <c:v>-0.809836</c:v>
                </c:pt>
              </c:numCache>
            </c:numRef>
          </c:xVal>
          <c:yVal>
            <c:numRef>
              <c:f>'CGShiftStudy 2'!$AE$4:$AE$5</c:f>
              <c:numCache>
                <c:formatCode>General</c:formatCode>
                <c:ptCount val="2"/>
                <c:pt idx="0">
                  <c:v>0.16364999999999999</c:v>
                </c:pt>
                <c:pt idx="1">
                  <c:v>-0.16364999999999999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31B-46B5-853B-7187F3EB3A33}"/>
            </c:ext>
          </c:extLst>
        </c:ser>
        <c:ser>
          <c:idx val="20"/>
          <c:order val="20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2'!$AF$4:$AF$5</c:f>
              <c:numCache>
                <c:formatCode>General</c:formatCode>
                <c:ptCount val="2"/>
                <c:pt idx="0">
                  <c:v>-1.7378199999999999</c:v>
                </c:pt>
                <c:pt idx="1">
                  <c:v>0.209372</c:v>
                </c:pt>
              </c:numCache>
            </c:numRef>
          </c:xVal>
          <c:yVal>
            <c:numRef>
              <c:f>'CGShiftStudy 2'!$AG$4:$AG$5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31B-46B5-853B-7187F3EB3A33}"/>
            </c:ext>
          </c:extLst>
        </c:ser>
        <c:ser>
          <c:idx val="21"/>
          <c:order val="21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2'!$AH$4:$AH$5</c:f>
              <c:numCache>
                <c:formatCode>General</c:formatCode>
                <c:ptCount val="2"/>
                <c:pt idx="0">
                  <c:v>-2.2173500000000002</c:v>
                </c:pt>
                <c:pt idx="1">
                  <c:v>0.71925799999999995</c:v>
                </c:pt>
              </c:numCache>
            </c:numRef>
          </c:xVal>
          <c:yVal>
            <c:numRef>
              <c:f>'CGShiftStudy 2'!$AI$4:$AI$5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31B-46B5-853B-7187F3EB3A33}"/>
            </c:ext>
          </c:extLst>
        </c:ser>
        <c:ser>
          <c:idx val="22"/>
          <c:order val="22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2'!$V$15:$V$16</c:f>
              <c:numCache>
                <c:formatCode>General</c:formatCode>
                <c:ptCount val="2"/>
                <c:pt idx="0">
                  <c:v>-0.86270999999999998</c:v>
                </c:pt>
                <c:pt idx="1">
                  <c:v>-0.86270999999999998</c:v>
                </c:pt>
              </c:numCache>
            </c:numRef>
          </c:xVal>
          <c:yVal>
            <c:numRef>
              <c:f>'CGShiftStudy 2'!$W$15:$W$16</c:f>
              <c:numCache>
                <c:formatCode>General</c:formatCode>
                <c:ptCount val="2"/>
                <c:pt idx="0">
                  <c:v>1.6100099999999999</c:v>
                </c:pt>
                <c:pt idx="1">
                  <c:v>-1.6100099999999999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31B-46B5-853B-7187F3EB3A33}"/>
            </c:ext>
          </c:extLst>
        </c:ser>
        <c:ser>
          <c:idx val="23"/>
          <c:order val="23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2'!$X$15:$X$16</c:f>
              <c:numCache>
                <c:formatCode>General</c:formatCode>
                <c:ptCount val="2"/>
                <c:pt idx="0">
                  <c:v>-0.82436699999999996</c:v>
                </c:pt>
                <c:pt idx="1">
                  <c:v>-0.82436699999999996</c:v>
                </c:pt>
              </c:numCache>
            </c:numRef>
          </c:xVal>
          <c:yVal>
            <c:numRef>
              <c:f>'CGShiftStudy 2'!$Y$15:$Y$16</c:f>
              <c:numCache>
                <c:formatCode>General</c:formatCode>
                <c:ptCount val="2"/>
                <c:pt idx="0">
                  <c:v>1.1872199999999999</c:v>
                </c:pt>
                <c:pt idx="1">
                  <c:v>-1.1872199999999999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31B-46B5-853B-7187F3EB3A33}"/>
            </c:ext>
          </c:extLst>
        </c:ser>
        <c:ser>
          <c:idx val="24"/>
          <c:order val="24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2'!$AB$15:$AB$16</c:f>
              <c:numCache>
                <c:formatCode>General</c:formatCode>
                <c:ptCount val="2"/>
                <c:pt idx="0">
                  <c:v>-0.72582999999999998</c:v>
                </c:pt>
                <c:pt idx="1">
                  <c:v>-0.72582999999999998</c:v>
                </c:pt>
              </c:numCache>
            </c:numRef>
          </c:xVal>
          <c:yVal>
            <c:numRef>
              <c:f>'CGShiftStudy 2'!$AC$15:$AC$16</c:f>
              <c:numCache>
                <c:formatCode>General</c:formatCode>
                <c:ptCount val="2"/>
                <c:pt idx="0">
                  <c:v>0.39501999999999998</c:v>
                </c:pt>
                <c:pt idx="1">
                  <c:v>-0.39501999999999998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31B-46B5-853B-7187F3EB3A33}"/>
            </c:ext>
          </c:extLst>
        </c:ser>
        <c:ser>
          <c:idx val="25"/>
          <c:order val="25"/>
          <c:tx>
            <c:v>B 60 0.38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2'!$AD$15:$AD$16</c:f>
              <c:numCache>
                <c:formatCode>General</c:formatCode>
                <c:ptCount val="2"/>
                <c:pt idx="0">
                  <c:v>-0.75997000000000003</c:v>
                </c:pt>
                <c:pt idx="1">
                  <c:v>-0.64070199999999999</c:v>
                </c:pt>
              </c:numCache>
            </c:numRef>
          </c:xVal>
          <c:yVal>
            <c:numRef>
              <c:f>'CGShiftStudy 2'!$AE$15:$AE$16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31B-46B5-853B-7187F3EB3A33}"/>
            </c:ext>
          </c:extLst>
        </c:ser>
        <c:ser>
          <c:idx val="26"/>
          <c:order val="26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2'!$AF$15:$AF$16</c:f>
              <c:numCache>
                <c:formatCode>General</c:formatCode>
                <c:ptCount val="2"/>
                <c:pt idx="0">
                  <c:v>-1.92632</c:v>
                </c:pt>
                <c:pt idx="1">
                  <c:v>0.83291400000000004</c:v>
                </c:pt>
              </c:numCache>
            </c:numRef>
          </c:xVal>
          <c:yVal>
            <c:numRef>
              <c:f>'CGShiftStudy 2'!$AG$15:$AG$16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31B-46B5-853B-7187F3EB3A33}"/>
            </c:ext>
          </c:extLst>
        </c:ser>
        <c:ser>
          <c:idx val="27"/>
          <c:order val="27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2'!$AH$15:$AH$16</c:f>
              <c:numCache>
                <c:formatCode>General</c:formatCode>
                <c:ptCount val="2"/>
                <c:pt idx="0">
                  <c:v>-3.0672799999999998</c:v>
                </c:pt>
                <c:pt idx="1">
                  <c:v>2.24396</c:v>
                </c:pt>
              </c:numCache>
            </c:numRef>
          </c:xVal>
          <c:yVal>
            <c:numRef>
              <c:f>'CGShiftStudy 2'!$AI$15:$AI$16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831B-46B5-853B-7187F3EB3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2.5"/>
          <c:min val="-3.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0.5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2.6550925925925922E-2"/>
          <c:w val="0.16337801200145574"/>
          <c:h val="0.134218248760571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F16,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2'!$D$9</c:f>
              <c:numCache>
                <c:formatCode>0.00</c:formatCode>
                <c:ptCount val="1"/>
                <c:pt idx="0">
                  <c:v>3.6053000000000001E-3</c:v>
                </c:pt>
              </c:numCache>
            </c:numRef>
          </c:xVal>
          <c:yVal>
            <c:numRef>
              <c:f>'CGShiftStudy 2'!$E$9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F-470D-87AF-5E9519B835E2}"/>
            </c:ext>
          </c:extLst>
        </c:ser>
        <c:ser>
          <c:idx val="1"/>
          <c:order val="1"/>
          <c:tx>
            <c:v>F16,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2'!$D$20</c:f>
              <c:numCache>
                <c:formatCode>General</c:formatCode>
                <c:ptCount val="1"/>
                <c:pt idx="0">
                  <c:v>4.5560100000000001E-3</c:v>
                </c:pt>
              </c:numCache>
            </c:numRef>
          </c:xVal>
          <c:yVal>
            <c:numRef>
              <c:f>'CGShiftStudy 2'!$E$20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2F-470D-87AF-5E9519B835E2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2'!$T$9</c:f>
              <c:numCache>
                <c:formatCode>General</c:formatCode>
                <c:ptCount val="1"/>
                <c:pt idx="0">
                  <c:v>-1.03807E-2</c:v>
                </c:pt>
              </c:numCache>
            </c:numRef>
          </c:xVal>
          <c:yVal>
            <c:numRef>
              <c:f>'CGShiftStudy 2'!$U$9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2F-470D-87AF-5E9519B835E2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2'!$T$20</c:f>
              <c:numCache>
                <c:formatCode>General</c:formatCode>
                <c:ptCount val="1"/>
                <c:pt idx="0">
                  <c:v>1.05328E-2</c:v>
                </c:pt>
              </c:numCache>
            </c:numRef>
          </c:xVal>
          <c:yVal>
            <c:numRef>
              <c:f>'CGShiftStudy 2'!$U$20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2F-470D-87AF-5E9519B835E2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2'!$F$9</c:f>
              <c:numCache>
                <c:formatCode>General</c:formatCode>
                <c:ptCount val="1"/>
                <c:pt idx="0">
                  <c:v>3.3550300000000002E-3</c:v>
                </c:pt>
              </c:numCache>
            </c:numRef>
          </c:xVal>
          <c:yVal>
            <c:numRef>
              <c:f>'CGShiftStudy 2'!$G$9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2F-470D-87AF-5E9519B835E2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2'!$H$9</c:f>
              <c:numCache>
                <c:formatCode>General</c:formatCode>
                <c:ptCount val="1"/>
                <c:pt idx="0">
                  <c:v>3.1005400000000002E-3</c:v>
                </c:pt>
              </c:numCache>
            </c:numRef>
          </c:xVal>
          <c:yVal>
            <c:numRef>
              <c:f>'CGShiftStudy 2'!$I$9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2F-470D-87AF-5E9519B835E2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2'!$J$9</c:f>
              <c:numCache>
                <c:formatCode>General</c:formatCode>
                <c:ptCount val="1"/>
                <c:pt idx="0">
                  <c:v>2.8414400000000002E-3</c:v>
                </c:pt>
              </c:numCache>
            </c:numRef>
          </c:xVal>
          <c:yVal>
            <c:numRef>
              <c:f>'CGShiftStudy 2'!$K$9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2F-470D-87AF-5E9519B835E2}"/>
            </c:ext>
          </c:extLst>
        </c:ser>
        <c:ser>
          <c:idx val="7"/>
          <c:order val="7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2'!$N$9</c:f>
              <c:numCache>
                <c:formatCode>General</c:formatCode>
                <c:ptCount val="1"/>
                <c:pt idx="0">
                  <c:v>2.5774600000000002E-3</c:v>
                </c:pt>
              </c:numCache>
            </c:numRef>
          </c:xVal>
          <c:yVal>
            <c:numRef>
              <c:f>'CGShiftStudy 2'!$O$9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2F-470D-87AF-5E9519B835E2}"/>
            </c:ext>
          </c:extLst>
        </c:ser>
        <c:ser>
          <c:idx val="8"/>
          <c:order val="8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2'!$P$9</c:f>
              <c:numCache>
                <c:formatCode>General</c:formatCode>
                <c:ptCount val="1"/>
                <c:pt idx="0">
                  <c:v>2.30817E-3</c:v>
                </c:pt>
              </c:numCache>
            </c:numRef>
          </c:xVal>
          <c:yVal>
            <c:numRef>
              <c:f>'CGShiftStudy 2'!$Q$9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D2F-470D-87AF-5E9519B835E2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2'!$F$20</c:f>
              <c:numCache>
                <c:formatCode>General</c:formatCode>
                <c:ptCount val="1"/>
                <c:pt idx="0">
                  <c:v>4.2934999999999996E-3</c:v>
                </c:pt>
              </c:numCache>
            </c:numRef>
          </c:xVal>
          <c:yVal>
            <c:numRef>
              <c:f>'CGShiftStudy 2'!$G$20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D2F-470D-87AF-5E9519B835E2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2'!$H$20</c:f>
              <c:numCache>
                <c:formatCode>General</c:formatCode>
                <c:ptCount val="1"/>
                <c:pt idx="0">
                  <c:v>3.87463E-3</c:v>
                </c:pt>
              </c:numCache>
            </c:numRef>
          </c:xVal>
          <c:yVal>
            <c:numRef>
              <c:f>'CGShiftStudy 2'!$I$20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D2F-470D-87AF-5E9519B835E2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2'!$J$20</c:f>
              <c:numCache>
                <c:formatCode>General</c:formatCode>
                <c:ptCount val="1"/>
                <c:pt idx="0">
                  <c:v>2.9519699999999999E-3</c:v>
                </c:pt>
              </c:numCache>
            </c:numRef>
          </c:xVal>
          <c:yVal>
            <c:numRef>
              <c:f>'CGShiftStudy 2'!$K$20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D2F-470D-87AF-5E9519B835E2}"/>
            </c:ext>
          </c:extLst>
        </c:ser>
        <c:ser>
          <c:idx val="13"/>
          <c:order val="12"/>
          <c:tx>
            <c:v>F 60 0.23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2'!$L$20</c:f>
              <c:numCache>
                <c:formatCode>General</c:formatCode>
                <c:ptCount val="1"/>
                <c:pt idx="0">
                  <c:v>-8.7724700000000005E-4</c:v>
                </c:pt>
              </c:numCache>
            </c:numRef>
          </c:xVal>
          <c:yVal>
            <c:numRef>
              <c:f>'CGShiftStudy 2'!$M$20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D2F-470D-87AF-5E9519B835E2}"/>
            </c:ext>
          </c:extLst>
        </c:ser>
        <c:ser>
          <c:idx val="14"/>
          <c:order val="13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2'!$N$20</c:f>
              <c:numCache>
                <c:formatCode>General</c:formatCode>
                <c:ptCount val="1"/>
                <c:pt idx="0">
                  <c:v>-4.0730999999999996E-3</c:v>
                </c:pt>
              </c:numCache>
            </c:numRef>
          </c:xVal>
          <c:yVal>
            <c:numRef>
              <c:f>'CGShiftStudy 2'!$O$20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D2F-470D-87AF-5E9519B835E2}"/>
            </c:ext>
          </c:extLst>
        </c:ser>
        <c:ser>
          <c:idx val="15"/>
          <c:order val="14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2'!$P$20</c:f>
              <c:numCache>
                <c:formatCode>General</c:formatCode>
                <c:ptCount val="1"/>
                <c:pt idx="0">
                  <c:v>7.8407000000000008E-3</c:v>
                </c:pt>
              </c:numCache>
            </c:numRef>
          </c:xVal>
          <c:yVal>
            <c:numRef>
              <c:f>'CGShiftStudy 2'!$Q$20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D2F-470D-87AF-5E9519B835E2}"/>
            </c:ext>
          </c:extLst>
        </c:ser>
        <c:ser>
          <c:idx val="16"/>
          <c:order val="15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2'!$V$9</c:f>
              <c:numCache>
                <c:formatCode>General</c:formatCode>
                <c:ptCount val="1"/>
                <c:pt idx="0">
                  <c:v>-1.6442399999999999E-2</c:v>
                </c:pt>
              </c:numCache>
            </c:numRef>
          </c:xVal>
          <c:yVal>
            <c:numRef>
              <c:f>'CGShiftStudy 2'!$W$9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D2F-470D-87AF-5E9519B835E2}"/>
            </c:ext>
          </c:extLst>
        </c:ser>
        <c:ser>
          <c:idx val="17"/>
          <c:order val="16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2'!$X$9</c:f>
              <c:numCache>
                <c:formatCode>General</c:formatCode>
                <c:ptCount val="1"/>
                <c:pt idx="0">
                  <c:v>-2.7101E-2</c:v>
                </c:pt>
              </c:numCache>
            </c:numRef>
          </c:xVal>
          <c:yVal>
            <c:numRef>
              <c:f>'CGShiftStudy 2'!$Y$9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D2F-470D-87AF-5E9519B835E2}"/>
            </c:ext>
          </c:extLst>
        </c:ser>
        <c:ser>
          <c:idx val="18"/>
          <c:order val="17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2'!$AB$9</c:f>
              <c:numCache>
                <c:formatCode>General</c:formatCode>
                <c:ptCount val="1"/>
                <c:pt idx="0">
                  <c:v>-5.1176800000000001E-2</c:v>
                </c:pt>
              </c:numCache>
            </c:numRef>
          </c:xVal>
          <c:yVal>
            <c:numRef>
              <c:f>'CGShiftStudy 2'!$AC$9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D2F-470D-87AF-5E9519B835E2}"/>
            </c:ext>
          </c:extLst>
        </c:ser>
        <c:ser>
          <c:idx val="20"/>
          <c:order val="18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2'!$AF$9</c:f>
              <c:numCache>
                <c:formatCode>General</c:formatCode>
                <c:ptCount val="1"/>
                <c:pt idx="0">
                  <c:v>-0.142072</c:v>
                </c:pt>
              </c:numCache>
            </c:numRef>
          </c:xVal>
          <c:yVal>
            <c:numRef>
              <c:f>'CGShiftStudy 2'!$AG$9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D2F-470D-87AF-5E9519B835E2}"/>
            </c:ext>
          </c:extLst>
        </c:ser>
        <c:ser>
          <c:idx val="21"/>
          <c:order val="19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2'!$AH$9</c:f>
              <c:numCache>
                <c:formatCode>General</c:formatCode>
                <c:ptCount val="1"/>
                <c:pt idx="0">
                  <c:v>-0.33420699999999998</c:v>
                </c:pt>
              </c:numCache>
            </c:numRef>
          </c:xVal>
          <c:yVal>
            <c:numRef>
              <c:f>'CGShiftStudy 2'!$AI$9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D2F-470D-87AF-5E9519B835E2}"/>
            </c:ext>
          </c:extLst>
        </c:ser>
        <c:ser>
          <c:idx val="22"/>
          <c:order val="20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2'!$V$20</c:f>
              <c:numCache>
                <c:formatCode>General</c:formatCode>
                <c:ptCount val="1"/>
                <c:pt idx="0">
                  <c:v>1.3191700000000001E-2</c:v>
                </c:pt>
              </c:numCache>
            </c:numRef>
          </c:xVal>
          <c:yVal>
            <c:numRef>
              <c:f>'CGShiftStudy 2'!$W$20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D2F-470D-87AF-5E9519B835E2}"/>
            </c:ext>
          </c:extLst>
        </c:ser>
        <c:ser>
          <c:idx val="23"/>
          <c:order val="21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2'!$X$20</c:f>
              <c:numCache>
                <c:formatCode>General</c:formatCode>
                <c:ptCount val="1"/>
                <c:pt idx="0">
                  <c:v>2.0283499999999999E-2</c:v>
                </c:pt>
              </c:numCache>
            </c:numRef>
          </c:xVal>
          <c:yVal>
            <c:numRef>
              <c:f>'CGShiftStudy 2'!$Y$20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D2F-470D-87AF-5E9519B835E2}"/>
            </c:ext>
          </c:extLst>
        </c:ser>
        <c:ser>
          <c:idx val="24"/>
          <c:order val="22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2'!$AB$20</c:f>
              <c:numCache>
                <c:formatCode>General</c:formatCode>
                <c:ptCount val="1"/>
                <c:pt idx="0">
                  <c:v>6.8088099999999999E-2</c:v>
                </c:pt>
              </c:numCache>
            </c:numRef>
          </c:xVal>
          <c:yVal>
            <c:numRef>
              <c:f>'CGShiftStudy 2'!$AC$20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D2F-470D-87AF-5E9519B835E2}"/>
            </c:ext>
          </c:extLst>
        </c:ser>
        <c:ser>
          <c:idx val="26"/>
          <c:order val="23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2'!$AF$20</c:f>
              <c:numCache>
                <c:formatCode>General</c:formatCode>
                <c:ptCount val="1"/>
                <c:pt idx="0">
                  <c:v>-1.9947900000000001E-2</c:v>
                </c:pt>
              </c:numCache>
            </c:numRef>
          </c:xVal>
          <c:yVal>
            <c:numRef>
              <c:f>'CGShiftStudy 2'!$AG$20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D2F-470D-87AF-5E9519B835E2}"/>
            </c:ext>
          </c:extLst>
        </c:ser>
        <c:ser>
          <c:idx val="27"/>
          <c:order val="24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2'!$AH$20</c:f>
              <c:numCache>
                <c:formatCode>General</c:formatCode>
                <c:ptCount val="1"/>
                <c:pt idx="0">
                  <c:v>7.7966199999999998E-3</c:v>
                </c:pt>
              </c:numCache>
            </c:numRef>
          </c:xVal>
          <c:yVal>
            <c:numRef>
              <c:f>'CGShiftStudy 2'!$AI$20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D2F-470D-87AF-5E9519B83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3.0000000000000006E-2"/>
          <c:min val="-3.0000000000000006E-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  <c:max val="0.25"/>
          <c:min val="-0.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2.6550925925925922E-2"/>
          <c:w val="0.16337801200145574"/>
          <c:h val="0.134218248760571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CURRENT'!$D$6:$D$7</c:f>
              <c:numCache>
                <c:formatCode>0.00</c:formatCode>
                <c:ptCount val="2"/>
                <c:pt idx="0">
                  <c:v>-1.72298E-3</c:v>
                </c:pt>
                <c:pt idx="1">
                  <c:v>-1.72298E-3</c:v>
                </c:pt>
              </c:numCache>
            </c:numRef>
          </c:xVal>
          <c:yVal>
            <c:numRef>
              <c:f>'CGShiftStudy CURRENT'!$E$6:$E$7</c:f>
              <c:numCache>
                <c:formatCode>0.00</c:formatCode>
                <c:ptCount val="2"/>
                <c:pt idx="0">
                  <c:v>7.3314199999999996E-2</c:v>
                </c:pt>
                <c:pt idx="1">
                  <c:v>-7.3314199999999996E-2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7-4002-831B-A12D6165D0E3}"/>
            </c:ext>
          </c:extLst>
        </c:ser>
        <c:ser>
          <c:idx val="1"/>
          <c:order val="1"/>
          <c:tx>
            <c:v>Baseline,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CURRENT'!$D$17:$D$18</c:f>
              <c:numCache>
                <c:formatCode>General</c:formatCode>
                <c:ptCount val="2"/>
                <c:pt idx="0">
                  <c:v>6.3076599999999997E-3</c:v>
                </c:pt>
                <c:pt idx="1">
                  <c:v>6.3076599999999997E-3</c:v>
                </c:pt>
              </c:numCache>
            </c:numRef>
          </c:xVal>
          <c:yVal>
            <c:numRef>
              <c:f>'CGShiftStudy CURRENT'!$E$17:$E$18</c:f>
              <c:numCache>
                <c:formatCode>General</c:formatCode>
                <c:ptCount val="2"/>
                <c:pt idx="0">
                  <c:v>0.11611100000000001</c:v>
                </c:pt>
                <c:pt idx="1">
                  <c:v>-0.11611100000000001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07-4002-831B-A12D6165D0E3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CURRENT'!$T$6:$T$7</c:f>
              <c:numCache>
                <c:formatCode>General</c:formatCode>
                <c:ptCount val="2"/>
                <c:pt idx="0">
                  <c:v>-1.52001E-3</c:v>
                </c:pt>
                <c:pt idx="1">
                  <c:v>-1.52001E-3</c:v>
                </c:pt>
              </c:numCache>
            </c:numRef>
          </c:xVal>
          <c:yVal>
            <c:numRef>
              <c:f>'CGShiftStudy CURRENT'!$U$6:$U$7</c:f>
              <c:numCache>
                <c:formatCode>General</c:formatCode>
                <c:ptCount val="2"/>
                <c:pt idx="0">
                  <c:v>7.6681200000000005E-2</c:v>
                </c:pt>
                <c:pt idx="1">
                  <c:v>-7.6681200000000005E-2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07-4002-831B-A12D6165D0E3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CURRENT'!$T$17:$T$18</c:f>
              <c:numCache>
                <c:formatCode>General</c:formatCode>
                <c:ptCount val="2"/>
                <c:pt idx="0">
                  <c:v>1.1068700000000001E-2</c:v>
                </c:pt>
                <c:pt idx="1">
                  <c:v>1.1068700000000001E-2</c:v>
                </c:pt>
              </c:numCache>
            </c:numRef>
          </c:xVal>
          <c:yVal>
            <c:numRef>
              <c:f>'CGShiftStudy CURRENT'!$U$17:$U$18</c:f>
              <c:numCache>
                <c:formatCode>General</c:formatCode>
                <c:ptCount val="2"/>
                <c:pt idx="0">
                  <c:v>0.12385599999999999</c:v>
                </c:pt>
                <c:pt idx="1">
                  <c:v>-0.12385599999999999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07-4002-831B-A12D6165D0E3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CURRENT'!$F$6:$F$7</c:f>
              <c:numCache>
                <c:formatCode>0.0000</c:formatCode>
                <c:ptCount val="2"/>
                <c:pt idx="0">
                  <c:v>-1.67621E-3</c:v>
                </c:pt>
                <c:pt idx="1">
                  <c:v>-1.67621E-3</c:v>
                </c:pt>
              </c:numCache>
            </c:numRef>
          </c:xVal>
          <c:yVal>
            <c:numRef>
              <c:f>'CGShiftStudy CURRENT'!$G$6:$G$7</c:f>
              <c:numCache>
                <c:formatCode>0.0000</c:formatCode>
                <c:ptCount val="2"/>
                <c:pt idx="0">
                  <c:v>7.0953500000000003E-2</c:v>
                </c:pt>
                <c:pt idx="1">
                  <c:v>-7.0953500000000003E-2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07-4002-831B-A12D6165D0E3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CURRENT'!$H$6:$H$7</c:f>
              <c:numCache>
                <c:formatCode>General</c:formatCode>
                <c:ptCount val="2"/>
                <c:pt idx="0">
                  <c:v>-1.69586E-3</c:v>
                </c:pt>
                <c:pt idx="1">
                  <c:v>-1.69586E-3</c:v>
                </c:pt>
              </c:numCache>
            </c:numRef>
          </c:xVal>
          <c:yVal>
            <c:numRef>
              <c:f>'CGShiftStudy CURRENT'!$I$6:$I$7</c:f>
              <c:numCache>
                <c:formatCode>General</c:formatCode>
                <c:ptCount val="2"/>
                <c:pt idx="0">
                  <c:v>6.5058400000000002E-2</c:v>
                </c:pt>
                <c:pt idx="1">
                  <c:v>-6.5058400000000002E-2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07-4002-831B-A12D6165D0E3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CURRENT'!$J$6:$J$7</c:f>
              <c:numCache>
                <c:formatCode>General</c:formatCode>
                <c:ptCount val="2"/>
                <c:pt idx="0">
                  <c:v>-6.03624E-3</c:v>
                </c:pt>
                <c:pt idx="1">
                  <c:v>-6.03624E-3</c:v>
                </c:pt>
              </c:numCache>
            </c:numRef>
          </c:xVal>
          <c:yVal>
            <c:numRef>
              <c:f>'CGShiftStudy CURRENT'!$K$6:$K$7</c:f>
              <c:numCache>
                <c:formatCode>General</c:formatCode>
                <c:ptCount val="2"/>
                <c:pt idx="0">
                  <c:v>1.00953E-2</c:v>
                </c:pt>
                <c:pt idx="1">
                  <c:v>-1.00953E-2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C07-4002-831B-A12D6165D0E3}"/>
            </c:ext>
          </c:extLst>
        </c:ser>
        <c:ser>
          <c:idx val="9"/>
          <c:order val="7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CURRENT'!$L$6:$L$7</c:f>
              <c:numCache>
                <c:formatCode>General</c:formatCode>
                <c:ptCount val="2"/>
              </c:numCache>
            </c:numRef>
          </c:xVal>
          <c:yVal>
            <c:numRef>
              <c:f>'CGShiftStudy CURRENT'!$M$6:$M$7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07-4002-831B-A12D6165D0E3}"/>
            </c:ext>
          </c:extLst>
        </c:ser>
        <c:ser>
          <c:idx val="7"/>
          <c:order val="8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CURRENT'!$N$6:$N$7</c:f>
              <c:numCache>
                <c:formatCode>General</c:formatCode>
                <c:ptCount val="2"/>
                <c:pt idx="0">
                  <c:v>-1.21902E-2</c:v>
                </c:pt>
                <c:pt idx="1">
                  <c:v>-1.21902E-2</c:v>
                </c:pt>
              </c:numCache>
            </c:numRef>
          </c:xVal>
          <c:yVal>
            <c:numRef>
              <c:f>'CGShiftStudy CURRENT'!$O$6:$O$7</c:f>
              <c:numCache>
                <c:formatCode>General</c:formatCode>
                <c:ptCount val="2"/>
                <c:pt idx="0">
                  <c:v>0.105535</c:v>
                </c:pt>
                <c:pt idx="1">
                  <c:v>-0.105535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C07-4002-831B-A12D6165D0E3}"/>
            </c:ext>
          </c:extLst>
        </c:ser>
        <c:ser>
          <c:idx val="8"/>
          <c:order val="9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CURRENT'!$P$6:$P$7</c:f>
              <c:numCache>
                <c:formatCode>General</c:formatCode>
                <c:ptCount val="2"/>
                <c:pt idx="0">
                  <c:v>-4.7643E-3</c:v>
                </c:pt>
                <c:pt idx="1">
                  <c:v>-4.7643E-3</c:v>
                </c:pt>
              </c:numCache>
            </c:numRef>
          </c:xVal>
          <c:yVal>
            <c:numRef>
              <c:f>'CGShiftStudy CURRENT'!$Q$6:$Q$7</c:f>
              <c:numCache>
                <c:formatCode>General</c:formatCode>
                <c:ptCount val="2"/>
                <c:pt idx="0">
                  <c:v>9.0049199999999996E-2</c:v>
                </c:pt>
                <c:pt idx="1">
                  <c:v>-9.0049199999999996E-2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C07-4002-831B-A12D6165D0E3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CURRENT'!$F$17:$F$18</c:f>
              <c:numCache>
                <c:formatCode>General</c:formatCode>
                <c:ptCount val="2"/>
                <c:pt idx="0">
                  <c:v>6.2439799999999997E-3</c:v>
                </c:pt>
                <c:pt idx="1">
                  <c:v>6.2439799999999997E-3</c:v>
                </c:pt>
              </c:numCache>
            </c:numRef>
          </c:xVal>
          <c:yVal>
            <c:numRef>
              <c:f>'CGShiftStudy CURRENT'!$G$17:$G$18</c:f>
              <c:numCache>
                <c:formatCode>General</c:formatCode>
                <c:ptCount val="2"/>
                <c:pt idx="0">
                  <c:v>0.116087</c:v>
                </c:pt>
                <c:pt idx="1">
                  <c:v>-0.116087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C07-4002-831B-A12D6165D0E3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CURRENT'!$H$17:$H$18</c:f>
              <c:numCache>
                <c:formatCode>General</c:formatCode>
                <c:ptCount val="2"/>
                <c:pt idx="0">
                  <c:v>6.3704499999999997E-3</c:v>
                </c:pt>
                <c:pt idx="1">
                  <c:v>6.3704499999999997E-3</c:v>
                </c:pt>
              </c:numCache>
            </c:numRef>
          </c:xVal>
          <c:yVal>
            <c:numRef>
              <c:f>'CGShiftStudy CURRENT'!$I$17:$I$18</c:f>
              <c:numCache>
                <c:formatCode>General</c:formatCode>
                <c:ptCount val="2"/>
                <c:pt idx="0">
                  <c:v>0.11600199999999999</c:v>
                </c:pt>
                <c:pt idx="1">
                  <c:v>-0.11600199999999999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C07-4002-831B-A12D6165D0E3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CURRENT'!$J$17:$J$18</c:f>
              <c:numCache>
                <c:formatCode>General</c:formatCode>
                <c:ptCount val="2"/>
                <c:pt idx="0">
                  <c:v>7.9154099999999995E-3</c:v>
                </c:pt>
                <c:pt idx="1">
                  <c:v>7.9154099999999995E-3</c:v>
                </c:pt>
              </c:numCache>
            </c:numRef>
          </c:xVal>
          <c:yVal>
            <c:numRef>
              <c:f>'CGShiftStudy CURRENT'!$K$17:$K$18</c:f>
              <c:numCache>
                <c:formatCode>General</c:formatCode>
                <c:ptCount val="2"/>
                <c:pt idx="0">
                  <c:v>0.114977</c:v>
                </c:pt>
                <c:pt idx="1">
                  <c:v>-0.114977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C07-4002-831B-A12D6165D0E3}"/>
            </c:ext>
          </c:extLst>
        </c:ser>
        <c:ser>
          <c:idx val="14"/>
          <c:order val="13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CURRENT'!$N$17:$N$18</c:f>
              <c:numCache>
                <c:formatCode>General</c:formatCode>
                <c:ptCount val="2"/>
                <c:pt idx="0">
                  <c:v>3.2358600000000001E-3</c:v>
                </c:pt>
                <c:pt idx="1">
                  <c:v>3.2358600000000001E-3</c:v>
                </c:pt>
              </c:numCache>
            </c:numRef>
          </c:xVal>
          <c:yVal>
            <c:numRef>
              <c:f>'CGShiftStudy CURRENT'!$O$17:$O$18</c:f>
              <c:numCache>
                <c:formatCode>General</c:formatCode>
                <c:ptCount val="2"/>
                <c:pt idx="0">
                  <c:v>0.11591</c:v>
                </c:pt>
                <c:pt idx="1">
                  <c:v>-0.11591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C07-4002-831B-A12D6165D0E3}"/>
            </c:ext>
          </c:extLst>
        </c:ser>
        <c:ser>
          <c:idx val="15"/>
          <c:order val="14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CURRENT'!$P$17:$P$18</c:f>
              <c:numCache>
                <c:formatCode>General</c:formatCode>
                <c:ptCount val="2"/>
                <c:pt idx="0">
                  <c:v>4.10488E-3</c:v>
                </c:pt>
                <c:pt idx="1">
                  <c:v>4.10488E-3</c:v>
                </c:pt>
              </c:numCache>
            </c:numRef>
          </c:xVal>
          <c:yVal>
            <c:numRef>
              <c:f>'CGShiftStudy CURRENT'!$Q$17:$Q$18</c:f>
              <c:numCache>
                <c:formatCode>General</c:formatCode>
                <c:ptCount val="2"/>
                <c:pt idx="0">
                  <c:v>0.116148</c:v>
                </c:pt>
                <c:pt idx="1">
                  <c:v>-0.116148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C07-4002-831B-A12D6165D0E3}"/>
            </c:ext>
          </c:extLst>
        </c:ser>
        <c:ser>
          <c:idx val="16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CURRENT'!$V$6:$V$7</c:f>
              <c:numCache>
                <c:formatCode>General</c:formatCode>
                <c:ptCount val="2"/>
                <c:pt idx="0">
                  <c:v>-1.4997400000000001E-3</c:v>
                </c:pt>
                <c:pt idx="1">
                  <c:v>-1.4997400000000001E-3</c:v>
                </c:pt>
              </c:numCache>
            </c:numRef>
          </c:xVal>
          <c:yVal>
            <c:numRef>
              <c:f>'CGShiftStudy CURRENT'!$W$6:$W$7</c:f>
              <c:numCache>
                <c:formatCode>General</c:formatCode>
                <c:ptCount val="2"/>
                <c:pt idx="0">
                  <c:v>7.6405500000000001E-2</c:v>
                </c:pt>
                <c:pt idx="1">
                  <c:v>-7.6405500000000001E-2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C07-4002-831B-A12D6165D0E3}"/>
            </c:ext>
          </c:extLst>
        </c:ser>
        <c:ser>
          <c:idx val="17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CURRENT'!$X$6:$X$7</c:f>
              <c:numCache>
                <c:formatCode>General</c:formatCode>
                <c:ptCount val="2"/>
                <c:pt idx="0">
                  <c:v>-1.47904E-3</c:v>
                </c:pt>
                <c:pt idx="1">
                  <c:v>-1.47904E-3</c:v>
                </c:pt>
              </c:numCache>
            </c:numRef>
          </c:xVal>
          <c:yVal>
            <c:numRef>
              <c:f>'CGShiftStudy CURRENT'!$Y$6:$Y$7</c:f>
              <c:numCache>
                <c:formatCode>General</c:formatCode>
                <c:ptCount val="2"/>
                <c:pt idx="0">
                  <c:v>7.6040999999999997E-2</c:v>
                </c:pt>
                <c:pt idx="1">
                  <c:v>-7.6040999999999997E-2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C07-4002-831B-A12D6165D0E3}"/>
            </c:ext>
          </c:extLst>
        </c:ser>
        <c:ser>
          <c:idx val="18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CURRENT'!$AB$6:$AB$7</c:f>
              <c:numCache>
                <c:formatCode>General</c:formatCode>
                <c:ptCount val="2"/>
                <c:pt idx="0">
                  <c:v>-1.45498E-3</c:v>
                </c:pt>
                <c:pt idx="1">
                  <c:v>-1.45498E-3</c:v>
                </c:pt>
              </c:numCache>
            </c:numRef>
          </c:xVal>
          <c:yVal>
            <c:numRef>
              <c:f>'CGShiftStudy CURRENT'!$AC$6:$AC$7</c:f>
              <c:numCache>
                <c:formatCode>General</c:formatCode>
                <c:ptCount val="2"/>
                <c:pt idx="0">
                  <c:v>7.5539599999999998E-2</c:v>
                </c:pt>
                <c:pt idx="1">
                  <c:v>-7.5539599999999998E-2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C07-4002-831B-A12D6165D0E3}"/>
            </c:ext>
          </c:extLst>
        </c:ser>
        <c:ser>
          <c:idx val="20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CURRENT'!$AF$6:$AF$7</c:f>
              <c:numCache>
                <c:formatCode>General</c:formatCode>
                <c:ptCount val="2"/>
                <c:pt idx="0">
                  <c:v>-1.42296E-3</c:v>
                </c:pt>
                <c:pt idx="1">
                  <c:v>-1.42296E-3</c:v>
                </c:pt>
              </c:numCache>
            </c:numRef>
          </c:xVal>
          <c:yVal>
            <c:numRef>
              <c:f>'CGShiftStudy CURRENT'!$AG$6:$AG$7</c:f>
              <c:numCache>
                <c:formatCode>General</c:formatCode>
                <c:ptCount val="2"/>
                <c:pt idx="0">
                  <c:v>7.4810699999999994E-2</c:v>
                </c:pt>
                <c:pt idx="1">
                  <c:v>-7.4810699999999994E-2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C07-4002-831B-A12D6165D0E3}"/>
            </c:ext>
          </c:extLst>
        </c:ser>
        <c:ser>
          <c:idx val="21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CURRENT'!$AH$6:$AH$7</c:f>
              <c:numCache>
                <c:formatCode>General</c:formatCode>
                <c:ptCount val="2"/>
                <c:pt idx="0">
                  <c:v>-1.3759E-3</c:v>
                </c:pt>
                <c:pt idx="1">
                  <c:v>-1.3759E-3</c:v>
                </c:pt>
              </c:numCache>
            </c:numRef>
          </c:xVal>
          <c:yVal>
            <c:numRef>
              <c:f>'CGShiftStudy CURRENT'!$AI$6:$AI$7</c:f>
              <c:numCache>
                <c:formatCode>General</c:formatCode>
                <c:ptCount val="2"/>
                <c:pt idx="0">
                  <c:v>7.3660400000000001E-2</c:v>
                </c:pt>
                <c:pt idx="1">
                  <c:v>-7.3660400000000001E-2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C07-4002-831B-A12D6165D0E3}"/>
            </c:ext>
          </c:extLst>
        </c:ser>
        <c:ser>
          <c:idx val="22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CURRENT'!$V$17:$V$18</c:f>
              <c:numCache>
                <c:formatCode>General</c:formatCode>
                <c:ptCount val="2"/>
                <c:pt idx="0">
                  <c:v>1.074E-2</c:v>
                </c:pt>
                <c:pt idx="1">
                  <c:v>1.074E-2</c:v>
                </c:pt>
              </c:numCache>
            </c:numRef>
          </c:xVal>
          <c:yVal>
            <c:numRef>
              <c:f>'CGShiftStudy CURRENT'!$W$17:$W$18</c:f>
              <c:numCache>
                <c:formatCode>General</c:formatCode>
                <c:ptCount val="2"/>
                <c:pt idx="0">
                  <c:v>0.123346</c:v>
                </c:pt>
                <c:pt idx="1">
                  <c:v>-0.123346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C07-4002-831B-A12D6165D0E3}"/>
            </c:ext>
          </c:extLst>
        </c:ser>
        <c:ser>
          <c:idx val="23"/>
          <c:order val="21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CURRENT'!$X$17:$X$18</c:f>
              <c:numCache>
                <c:formatCode>General</c:formatCode>
                <c:ptCount val="2"/>
                <c:pt idx="0">
                  <c:v>1.04446E-2</c:v>
                </c:pt>
                <c:pt idx="1">
                  <c:v>1.04446E-2</c:v>
                </c:pt>
              </c:numCache>
            </c:numRef>
          </c:xVal>
          <c:yVal>
            <c:numRef>
              <c:f>'CGShiftStudy CURRENT'!$Y$17:$Y$18</c:f>
              <c:numCache>
                <c:formatCode>General</c:formatCode>
                <c:ptCount val="2"/>
                <c:pt idx="0">
                  <c:v>0.12291000000000001</c:v>
                </c:pt>
                <c:pt idx="1">
                  <c:v>-0.12291000000000001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C07-4002-831B-A12D6165D0E3}"/>
            </c:ext>
          </c:extLst>
        </c:ser>
        <c:ser>
          <c:idx val="24"/>
          <c:order val="2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CURRENT'!$AB$17:$AB$18</c:f>
              <c:numCache>
                <c:formatCode>General</c:formatCode>
                <c:ptCount val="2"/>
                <c:pt idx="0">
                  <c:v>1.0178E-2</c:v>
                </c:pt>
                <c:pt idx="1">
                  <c:v>1.0178E-2</c:v>
                </c:pt>
              </c:numCache>
            </c:numRef>
          </c:xVal>
          <c:yVal>
            <c:numRef>
              <c:f>'CGShiftStudy CURRENT'!$AC$17:$AC$18</c:f>
              <c:numCache>
                <c:formatCode>General</c:formatCode>
                <c:ptCount val="2"/>
                <c:pt idx="0">
                  <c:v>0.122528</c:v>
                </c:pt>
                <c:pt idx="1">
                  <c:v>-0.122528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C07-4002-831B-A12D6165D0E3}"/>
            </c:ext>
          </c:extLst>
        </c:ser>
        <c:ser>
          <c:idx val="25"/>
          <c:order val="23"/>
          <c:tx>
            <c:v>B 60 0.27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CURRENT'!$AD$17:$AD$18</c:f>
              <c:numCache>
                <c:formatCode>General</c:formatCode>
                <c:ptCount val="2"/>
              </c:numCache>
            </c:numRef>
          </c:xVal>
          <c:yVal>
            <c:numRef>
              <c:f>'CGShiftStudy CURRENT'!$AE$17:$AE$18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C07-4002-831B-A12D6165D0E3}"/>
            </c:ext>
          </c:extLst>
        </c:ser>
        <c:ser>
          <c:idx val="26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CURRENT'!$AF$17:$AF$18</c:f>
              <c:numCache>
                <c:formatCode>General</c:formatCode>
                <c:ptCount val="2"/>
                <c:pt idx="0">
                  <c:v>9.9406700000000004E-3</c:v>
                </c:pt>
                <c:pt idx="1">
                  <c:v>9.9406700000000004E-3</c:v>
                </c:pt>
              </c:numCache>
            </c:numRef>
          </c:xVal>
          <c:yVal>
            <c:numRef>
              <c:f>'CGShiftStudy CURRENT'!$AG$17:$AG$18</c:f>
              <c:numCache>
                <c:formatCode>General</c:formatCode>
                <c:ptCount val="2"/>
                <c:pt idx="0">
                  <c:v>0.122179</c:v>
                </c:pt>
                <c:pt idx="1">
                  <c:v>-0.122179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C07-4002-831B-A12D6165D0E3}"/>
            </c:ext>
          </c:extLst>
        </c:ser>
        <c:ser>
          <c:idx val="27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CURRENT'!$AH$17:$AH$18</c:f>
              <c:numCache>
                <c:formatCode>General</c:formatCode>
                <c:ptCount val="2"/>
                <c:pt idx="0">
                  <c:v>9.7403000000000003E-3</c:v>
                </c:pt>
                <c:pt idx="1">
                  <c:v>9.7403000000000003E-3</c:v>
                </c:pt>
              </c:numCache>
            </c:numRef>
          </c:xVal>
          <c:yVal>
            <c:numRef>
              <c:f>'CGShiftStudy CURRENT'!$AI$17:$AI$18</c:f>
              <c:numCache>
                <c:formatCode>General</c:formatCode>
                <c:ptCount val="2"/>
                <c:pt idx="0">
                  <c:v>0.121841</c:v>
                </c:pt>
                <c:pt idx="1">
                  <c:v>-0.121841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C07-4002-831B-A12D6165D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2.0000000000000005E-3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  <c:majorUnit val="3.0000000000000006E-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0.32979166666666665"/>
          <c:w val="0.16337801200145574"/>
          <c:h val="0.1319034339457567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282480314960644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CURRENT'!$D$8</c:f>
              <c:numCache>
                <c:formatCode>0.00</c:formatCode>
                <c:ptCount val="1"/>
                <c:pt idx="0">
                  <c:v>-2.40951</c:v>
                </c:pt>
              </c:numCache>
            </c:numRef>
          </c:xVal>
          <c:yVal>
            <c:numRef>
              <c:f>'CGShiftStudy CURRENT'!$E$8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A-44F4-AF9D-79408A9C5541}"/>
            </c:ext>
          </c:extLst>
        </c:ser>
        <c:ser>
          <c:idx val="1"/>
          <c:order val="1"/>
          <c:tx>
            <c:v>Baseline,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CURRENT'!$D$19</c:f>
              <c:numCache>
                <c:formatCode>General</c:formatCode>
                <c:ptCount val="1"/>
                <c:pt idx="0">
                  <c:v>-2.4230800000000001</c:v>
                </c:pt>
              </c:numCache>
            </c:numRef>
          </c:xVal>
          <c:yVal>
            <c:numRef>
              <c:f>'CGShiftStudy CURRENT'!$E$19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5DA-44F4-AF9D-79408A9C554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CURRENT'!$T$8</c:f>
              <c:numCache>
                <c:formatCode>General</c:formatCode>
                <c:ptCount val="1"/>
                <c:pt idx="0">
                  <c:v>-2.4510999999999998</c:v>
                </c:pt>
              </c:numCache>
            </c:numRef>
          </c:xVal>
          <c:yVal>
            <c:numRef>
              <c:f>'CGShiftStudy CURRENT'!$U$8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5DA-44F4-AF9D-79408A9C554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CURRENT'!$T$19</c:f>
              <c:numCache>
                <c:formatCode>General</c:formatCode>
                <c:ptCount val="1"/>
                <c:pt idx="0">
                  <c:v>-2.4552700000000001</c:v>
                </c:pt>
              </c:numCache>
            </c:numRef>
          </c:xVal>
          <c:yVal>
            <c:numRef>
              <c:f>'CGShiftStudy CURRENT'!$U$19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5DA-44F4-AF9D-79408A9C5541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CURRENT'!$F$8</c:f>
              <c:numCache>
                <c:formatCode>0.0000</c:formatCode>
                <c:ptCount val="1"/>
                <c:pt idx="0">
                  <c:v>-2.4109699999999998</c:v>
                </c:pt>
              </c:numCache>
            </c:numRef>
          </c:xVal>
          <c:yVal>
            <c:numRef>
              <c:f>'CGShiftStudy CURRENT'!$G$8</c:f>
              <c:numCache>
                <c:formatCode>0.0000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5DA-44F4-AF9D-79408A9C5541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CURRENT'!$H$8</c:f>
              <c:numCache>
                <c:formatCode>General</c:formatCode>
                <c:ptCount val="1"/>
                <c:pt idx="0">
                  <c:v>-2.4124699999999999</c:v>
                </c:pt>
              </c:numCache>
            </c:numRef>
          </c:xVal>
          <c:yVal>
            <c:numRef>
              <c:f>'CGShiftStudy CURRENT'!$I$8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5DA-44F4-AF9D-79408A9C5541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CURRENT'!$J$8</c:f>
              <c:numCache>
                <c:formatCode>General</c:formatCode>
                <c:ptCount val="1"/>
                <c:pt idx="0">
                  <c:v>-2.4140199999999998</c:v>
                </c:pt>
              </c:numCache>
            </c:numRef>
          </c:xVal>
          <c:yVal>
            <c:numRef>
              <c:f>'CGShiftStudy CURRENT'!$K$8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5DA-44F4-AF9D-79408A9C5541}"/>
            </c:ext>
          </c:extLst>
        </c:ser>
        <c:ser>
          <c:idx val="7"/>
          <c:order val="7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CURRENT'!$N$8</c:f>
              <c:numCache>
                <c:formatCode>General</c:formatCode>
                <c:ptCount val="1"/>
                <c:pt idx="0">
                  <c:v>-2.4156200000000001</c:v>
                </c:pt>
              </c:numCache>
            </c:numRef>
          </c:xVal>
          <c:yVal>
            <c:numRef>
              <c:f>'CGShiftStudy CURRENT'!$O$8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5DA-44F4-AF9D-79408A9C5541}"/>
            </c:ext>
          </c:extLst>
        </c:ser>
        <c:ser>
          <c:idx val="8"/>
          <c:order val="8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CURRENT'!$P$8</c:f>
              <c:numCache>
                <c:formatCode>General</c:formatCode>
                <c:ptCount val="1"/>
                <c:pt idx="0">
                  <c:v>-2.4172799999999999</c:v>
                </c:pt>
              </c:numCache>
            </c:numRef>
          </c:xVal>
          <c:yVal>
            <c:numRef>
              <c:f>'CGShiftStudy CURRENT'!$Q$8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5DA-44F4-AF9D-79408A9C5541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CURRENT'!$F$19</c:f>
              <c:numCache>
                <c:formatCode>General</c:formatCode>
                <c:ptCount val="1"/>
                <c:pt idx="0">
                  <c:v>-2.4260899999999999</c:v>
                </c:pt>
              </c:numCache>
            </c:numRef>
          </c:xVal>
          <c:yVal>
            <c:numRef>
              <c:f>'CGShiftStudy CURRENT'!$G$19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5DA-44F4-AF9D-79408A9C5541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CURRENT'!$H$19</c:f>
              <c:numCache>
                <c:formatCode>General</c:formatCode>
                <c:ptCount val="1"/>
                <c:pt idx="0">
                  <c:v>-2.4291</c:v>
                </c:pt>
              </c:numCache>
            </c:numRef>
          </c:xVal>
          <c:yVal>
            <c:numRef>
              <c:f>'CGShiftStudy CURRENT'!$I$19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5DA-44F4-AF9D-79408A9C5541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CURRENT'!$J$19</c:f>
              <c:numCache>
                <c:formatCode>General</c:formatCode>
                <c:ptCount val="1"/>
                <c:pt idx="0">
                  <c:v>-2.43208</c:v>
                </c:pt>
              </c:numCache>
            </c:numRef>
          </c:xVal>
          <c:yVal>
            <c:numRef>
              <c:f>'CGShiftStudy CURRENT'!$K$19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5DA-44F4-AF9D-79408A9C5541}"/>
            </c:ext>
          </c:extLst>
        </c:ser>
        <c:ser>
          <c:idx val="14"/>
          <c:order val="12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CURRENT'!$N$19</c:f>
              <c:numCache>
                <c:formatCode>General</c:formatCode>
                <c:ptCount val="1"/>
                <c:pt idx="0">
                  <c:v>-2.43485</c:v>
                </c:pt>
              </c:numCache>
            </c:numRef>
          </c:xVal>
          <c:yVal>
            <c:numRef>
              <c:f>'CGShiftStudy CURRENT'!$O$19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5DA-44F4-AF9D-79408A9C5541}"/>
            </c:ext>
          </c:extLst>
        </c:ser>
        <c:ser>
          <c:idx val="15"/>
          <c:order val="13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CURRENT'!$P$19</c:f>
              <c:numCache>
                <c:formatCode>General</c:formatCode>
                <c:ptCount val="1"/>
                <c:pt idx="0">
                  <c:v>-2.4344700000000001</c:v>
                </c:pt>
              </c:numCache>
            </c:numRef>
          </c:xVal>
          <c:yVal>
            <c:numRef>
              <c:f>'CGShiftStudy CURRENT'!$Q$19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5DA-44F4-AF9D-79408A9C5541}"/>
            </c:ext>
          </c:extLst>
        </c:ser>
        <c:ser>
          <c:idx val="16"/>
          <c:order val="14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CURRENT'!$V$8</c:f>
              <c:numCache>
                <c:formatCode>General</c:formatCode>
                <c:ptCount val="1"/>
                <c:pt idx="0">
                  <c:v>-2.45207</c:v>
                </c:pt>
              </c:numCache>
            </c:numRef>
          </c:xVal>
          <c:yVal>
            <c:numRef>
              <c:f>'CGShiftStudy CURRENT'!$W$8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5DA-44F4-AF9D-79408A9C5541}"/>
            </c:ext>
          </c:extLst>
        </c:ser>
        <c:ser>
          <c:idx val="17"/>
          <c:order val="15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CURRENT'!$X$8</c:f>
              <c:numCache>
                <c:formatCode>General</c:formatCode>
                <c:ptCount val="1"/>
                <c:pt idx="0">
                  <c:v>-2.4530500000000002</c:v>
                </c:pt>
              </c:numCache>
            </c:numRef>
          </c:xVal>
          <c:yVal>
            <c:numRef>
              <c:f>'CGShiftStudy CURRENT'!$Y$8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5DA-44F4-AF9D-79408A9C5541}"/>
            </c:ext>
          </c:extLst>
        </c:ser>
        <c:ser>
          <c:idx val="18"/>
          <c:order val="16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CURRENT'!$AB$8</c:f>
              <c:numCache>
                <c:formatCode>General</c:formatCode>
                <c:ptCount val="1"/>
                <c:pt idx="0">
                  <c:v>-2.4540500000000001</c:v>
                </c:pt>
              </c:numCache>
            </c:numRef>
          </c:xVal>
          <c:yVal>
            <c:numRef>
              <c:f>'CGShiftStudy CURRENT'!$AC$8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5DA-44F4-AF9D-79408A9C5541}"/>
            </c:ext>
          </c:extLst>
        </c:ser>
        <c:ser>
          <c:idx val="20"/>
          <c:order val="17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CURRENT'!$AF$8</c:f>
              <c:numCache>
                <c:formatCode>General</c:formatCode>
                <c:ptCount val="1"/>
                <c:pt idx="0">
                  <c:v>-2.45506</c:v>
                </c:pt>
              </c:numCache>
            </c:numRef>
          </c:xVal>
          <c:yVal>
            <c:numRef>
              <c:f>'CGShiftStudy CURRENT'!$AG$8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5DA-44F4-AF9D-79408A9C5541}"/>
            </c:ext>
          </c:extLst>
        </c:ser>
        <c:ser>
          <c:idx val="21"/>
          <c:order val="18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CURRENT'!$AH$8</c:f>
              <c:numCache>
                <c:formatCode>General</c:formatCode>
                <c:ptCount val="1"/>
                <c:pt idx="0">
                  <c:v>-2.4560900000000001</c:v>
                </c:pt>
              </c:numCache>
            </c:numRef>
          </c:xVal>
          <c:yVal>
            <c:numRef>
              <c:f>'CGShiftStudy CURRENT'!$AI$8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5DA-44F4-AF9D-79408A9C5541}"/>
            </c:ext>
          </c:extLst>
        </c:ser>
        <c:ser>
          <c:idx val="22"/>
          <c:order val="19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CURRENT'!$V$19</c:f>
              <c:numCache>
                <c:formatCode>General</c:formatCode>
                <c:ptCount val="1"/>
                <c:pt idx="0">
                  <c:v>-2.4583300000000001</c:v>
                </c:pt>
              </c:numCache>
            </c:numRef>
          </c:xVal>
          <c:yVal>
            <c:numRef>
              <c:f>'CGShiftStudy CURRENT'!$W$19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5DA-44F4-AF9D-79408A9C5541}"/>
            </c:ext>
          </c:extLst>
        </c:ser>
        <c:ser>
          <c:idx val="23"/>
          <c:order val="20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CURRENT'!$X$19</c:f>
              <c:numCache>
                <c:formatCode>General</c:formatCode>
                <c:ptCount val="1"/>
                <c:pt idx="0">
                  <c:v>-2.4613800000000001</c:v>
                </c:pt>
              </c:numCache>
            </c:numRef>
          </c:xVal>
          <c:yVal>
            <c:numRef>
              <c:f>'CGShiftStudy CURRENT'!$Y$19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5DA-44F4-AF9D-79408A9C5541}"/>
            </c:ext>
          </c:extLst>
        </c:ser>
        <c:ser>
          <c:idx val="24"/>
          <c:order val="21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CURRENT'!$AB$19</c:f>
              <c:numCache>
                <c:formatCode>General</c:formatCode>
                <c:ptCount val="1"/>
                <c:pt idx="0">
                  <c:v>-2.46441</c:v>
                </c:pt>
              </c:numCache>
            </c:numRef>
          </c:xVal>
          <c:yVal>
            <c:numRef>
              <c:f>'CGShiftStudy CURRENT'!$AC$19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5DA-44F4-AF9D-79408A9C5541}"/>
            </c:ext>
          </c:extLst>
        </c:ser>
        <c:ser>
          <c:idx val="26"/>
          <c:order val="22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CURRENT'!$AF$19</c:f>
              <c:numCache>
                <c:formatCode>General</c:formatCode>
                <c:ptCount val="1"/>
                <c:pt idx="0">
                  <c:v>-2.4674200000000002</c:v>
                </c:pt>
              </c:numCache>
            </c:numRef>
          </c:xVal>
          <c:yVal>
            <c:numRef>
              <c:f>'CGShiftStudy CURRENT'!$AG$19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25DA-44F4-AF9D-79408A9C5541}"/>
            </c:ext>
          </c:extLst>
        </c:ser>
        <c:ser>
          <c:idx val="27"/>
          <c:order val="23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CURRENT'!$AH$19</c:f>
              <c:numCache>
                <c:formatCode>General</c:formatCode>
                <c:ptCount val="1"/>
                <c:pt idx="0">
                  <c:v>-2.4704299999999999</c:v>
                </c:pt>
              </c:numCache>
            </c:numRef>
          </c:xVal>
          <c:yVal>
            <c:numRef>
              <c:f>'CGShiftStudy CURRENT'!$AI$19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25DA-44F4-AF9D-79408A9C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237604779674832"/>
          <c:y val="3.1517935258092745E-2"/>
          <c:w val="0.15317509928598358"/>
          <c:h val="0.136038203557888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CURRENT'!$D$9</c:f>
              <c:numCache>
                <c:formatCode>0.00</c:formatCode>
                <c:ptCount val="1"/>
                <c:pt idx="0">
                  <c:v>7.4044899999999997E-3</c:v>
                </c:pt>
              </c:numCache>
            </c:numRef>
          </c:xVal>
          <c:yVal>
            <c:numRef>
              <c:f>'CGShiftStudy CURRENT'!$E$9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A-44F4-AF9D-79408A9C5541}"/>
            </c:ext>
          </c:extLst>
        </c:ser>
        <c:ser>
          <c:idx val="1"/>
          <c:order val="1"/>
          <c:tx>
            <c:v>Baseline,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CURRENT'!$D$20</c:f>
              <c:numCache>
                <c:formatCode>General</c:formatCode>
                <c:ptCount val="1"/>
                <c:pt idx="0">
                  <c:v>6.1338799999999998E-4</c:v>
                </c:pt>
              </c:numCache>
            </c:numRef>
          </c:xVal>
          <c:yVal>
            <c:numRef>
              <c:f>'CGShiftStudy CURRENT'!$E$20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5DA-44F4-AF9D-79408A9C554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CURRENT'!$T$9</c:f>
              <c:numCache>
                <c:formatCode>General</c:formatCode>
                <c:ptCount val="1"/>
                <c:pt idx="0">
                  <c:v>1.2411800000000001E-2</c:v>
                </c:pt>
              </c:numCache>
            </c:numRef>
          </c:xVal>
          <c:yVal>
            <c:numRef>
              <c:f>'CGShiftStudy CURRENT'!$U$9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5DA-44F4-AF9D-79408A9C554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CURRENT'!$T$20</c:f>
              <c:numCache>
                <c:formatCode>General</c:formatCode>
                <c:ptCount val="1"/>
                <c:pt idx="0">
                  <c:v>-1.7989900000000001E-3</c:v>
                </c:pt>
              </c:numCache>
            </c:numRef>
          </c:xVal>
          <c:yVal>
            <c:numRef>
              <c:f>'CGShiftStudy CURRENT'!$U$20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5DA-44F4-AF9D-79408A9C5541}"/>
            </c:ext>
          </c:extLst>
        </c:ser>
        <c:ser>
          <c:idx val="4"/>
          <c:order val="4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CURRENT'!$F$9</c:f>
              <c:numCache>
                <c:formatCode>0.0000</c:formatCode>
                <c:ptCount val="1"/>
                <c:pt idx="0">
                  <c:v>7.1689800000000001E-3</c:v>
                </c:pt>
              </c:numCache>
            </c:numRef>
          </c:xVal>
          <c:yVal>
            <c:numRef>
              <c:f>'CGShiftStudy CURRENT'!$G$9</c:f>
              <c:numCache>
                <c:formatCode>0.0000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5DA-44F4-AF9D-79408A9C5541}"/>
            </c:ext>
          </c:extLst>
        </c:ser>
        <c:ser>
          <c:idx val="5"/>
          <c:order val="5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CURRENT'!$H$9</c:f>
              <c:numCache>
                <c:formatCode>General</c:formatCode>
                <c:ptCount val="1"/>
                <c:pt idx="0">
                  <c:v>6.9305800000000004E-3</c:v>
                </c:pt>
              </c:numCache>
            </c:numRef>
          </c:xVal>
          <c:yVal>
            <c:numRef>
              <c:f>'CGShiftStudy CURRENT'!$I$9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5DA-44F4-AF9D-79408A9C5541}"/>
            </c:ext>
          </c:extLst>
        </c:ser>
        <c:ser>
          <c:idx val="6"/>
          <c:order val="6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CURRENT'!$J$9</c:f>
              <c:numCache>
                <c:formatCode>General</c:formatCode>
                <c:ptCount val="1"/>
                <c:pt idx="0">
                  <c:v>6.6888599999999996E-3</c:v>
                </c:pt>
              </c:numCache>
            </c:numRef>
          </c:xVal>
          <c:yVal>
            <c:numRef>
              <c:f>'CGShiftStudy CURRENT'!$K$9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5DA-44F4-AF9D-79408A9C5541}"/>
            </c:ext>
          </c:extLst>
        </c:ser>
        <c:ser>
          <c:idx val="7"/>
          <c:order val="7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CURRENT'!$N$9</c:f>
              <c:numCache>
                <c:formatCode>General</c:formatCode>
                <c:ptCount val="1"/>
                <c:pt idx="0">
                  <c:v>6.4442299999999996E-3</c:v>
                </c:pt>
              </c:numCache>
            </c:numRef>
          </c:xVal>
          <c:yVal>
            <c:numRef>
              <c:f>'CGShiftStudy CURRENT'!$O$9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5DA-44F4-AF9D-79408A9C5541}"/>
            </c:ext>
          </c:extLst>
        </c:ser>
        <c:ser>
          <c:idx val="8"/>
          <c:order val="8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CURRENT'!$P$9</c:f>
              <c:numCache>
                <c:formatCode>General</c:formatCode>
                <c:ptCount val="1"/>
                <c:pt idx="0">
                  <c:v>6.1957699999999997E-3</c:v>
                </c:pt>
              </c:numCache>
            </c:numRef>
          </c:xVal>
          <c:yVal>
            <c:numRef>
              <c:f>'CGShiftStudy CURRENT'!$Q$9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5DA-44F4-AF9D-79408A9C5541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CURRENT'!$F$20</c:f>
              <c:numCache>
                <c:formatCode>General</c:formatCode>
                <c:ptCount val="1"/>
                <c:pt idx="0">
                  <c:v>2.0390299999999999E-4</c:v>
                </c:pt>
              </c:numCache>
            </c:numRef>
          </c:xVal>
          <c:yVal>
            <c:numRef>
              <c:f>'CGShiftStudy CURRENT'!$G$20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5DA-44F4-AF9D-79408A9C5541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CURRENT'!$H$20</c:f>
              <c:numCache>
                <c:formatCode>General</c:formatCode>
                <c:ptCount val="1"/>
                <c:pt idx="0">
                  <c:v>-6.6978899999999995E-4</c:v>
                </c:pt>
              </c:numCache>
            </c:numRef>
          </c:xVal>
          <c:yVal>
            <c:numRef>
              <c:f>'CGShiftStudy CURRENT'!$I$20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5DA-44F4-AF9D-79408A9C5541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CURRENT'!$J$20</c:f>
              <c:numCache>
                <c:formatCode>General</c:formatCode>
                <c:ptCount val="1"/>
                <c:pt idx="0">
                  <c:v>-5.5280099999999999E-3</c:v>
                </c:pt>
              </c:numCache>
            </c:numRef>
          </c:xVal>
          <c:yVal>
            <c:numRef>
              <c:f>'CGShiftStudy CURRENT'!$K$20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5DA-44F4-AF9D-79408A9C5541}"/>
            </c:ext>
          </c:extLst>
        </c:ser>
        <c:ser>
          <c:idx val="13"/>
          <c:order val="12"/>
          <c:tx>
            <c:v>F 60 0.23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CURRENT'!$L$20</c:f>
              <c:numCache>
                <c:formatCode>General</c:formatCode>
                <c:ptCount val="1"/>
              </c:numCache>
            </c:numRef>
          </c:xVal>
          <c:yVal>
            <c:numRef>
              <c:f>'CGShiftStudy CURRENT'!$M$20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5DA-44F4-AF9D-79408A9C5541}"/>
            </c:ext>
          </c:extLst>
        </c:ser>
        <c:ser>
          <c:idx val="14"/>
          <c:order val="13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CURRENT'!$N$20</c:f>
              <c:numCache>
                <c:formatCode>General</c:formatCode>
                <c:ptCount val="1"/>
                <c:pt idx="0">
                  <c:v>4.8877299999999999E-3</c:v>
                </c:pt>
              </c:numCache>
            </c:numRef>
          </c:xVal>
          <c:yVal>
            <c:numRef>
              <c:f>'CGShiftStudy CURRENT'!$O$20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5DA-44F4-AF9D-79408A9C5541}"/>
            </c:ext>
          </c:extLst>
        </c:ser>
        <c:ser>
          <c:idx val="15"/>
          <c:order val="14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CURRENT'!$P$20</c:f>
              <c:numCache>
                <c:formatCode>General</c:formatCode>
                <c:ptCount val="1"/>
                <c:pt idx="0">
                  <c:v>2.1562399999999998E-3</c:v>
                </c:pt>
              </c:numCache>
            </c:numRef>
          </c:xVal>
          <c:yVal>
            <c:numRef>
              <c:f>'CGShiftStudy CURRENT'!$Q$20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5DA-44F4-AF9D-79408A9C5541}"/>
            </c:ext>
          </c:extLst>
        </c:ser>
        <c:ser>
          <c:idx val="16"/>
          <c:order val="15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CURRENT'!$V$9</c:f>
              <c:numCache>
                <c:formatCode>General</c:formatCode>
                <c:ptCount val="1"/>
                <c:pt idx="0">
                  <c:v>1.21642E-2</c:v>
                </c:pt>
              </c:numCache>
            </c:numRef>
          </c:xVal>
          <c:yVal>
            <c:numRef>
              <c:f>'CGShiftStudy CURRENT'!$W$9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5DA-44F4-AF9D-79408A9C5541}"/>
            </c:ext>
          </c:extLst>
        </c:ser>
        <c:ser>
          <c:idx val="17"/>
          <c:order val="16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CURRENT'!$X$9</c:f>
              <c:numCache>
                <c:formatCode>General</c:formatCode>
                <c:ptCount val="1"/>
                <c:pt idx="0">
                  <c:v>1.1923100000000001E-2</c:v>
                </c:pt>
              </c:numCache>
            </c:numRef>
          </c:xVal>
          <c:yVal>
            <c:numRef>
              <c:f>'CGShiftStudy CURRENT'!$Y$9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5DA-44F4-AF9D-79408A9C5541}"/>
            </c:ext>
          </c:extLst>
        </c:ser>
        <c:ser>
          <c:idx val="18"/>
          <c:order val="17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CURRENT'!$AB$9</c:f>
              <c:numCache>
                <c:formatCode>General</c:formatCode>
                <c:ptCount val="1"/>
                <c:pt idx="0">
                  <c:v>1.1687599999999999E-2</c:v>
                </c:pt>
              </c:numCache>
            </c:numRef>
          </c:xVal>
          <c:yVal>
            <c:numRef>
              <c:f>'CGShiftStudy CURRENT'!$AC$9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5DA-44F4-AF9D-79408A9C5541}"/>
            </c:ext>
          </c:extLst>
        </c:ser>
        <c:ser>
          <c:idx val="20"/>
          <c:order val="18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CURRENT'!$AF$9</c:f>
              <c:numCache>
                <c:formatCode>General</c:formatCode>
                <c:ptCount val="1"/>
                <c:pt idx="0">
                  <c:v>1.14568E-2</c:v>
                </c:pt>
              </c:numCache>
            </c:numRef>
          </c:xVal>
          <c:yVal>
            <c:numRef>
              <c:f>'CGShiftStudy CURRENT'!$AG$9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5DA-44F4-AF9D-79408A9C5541}"/>
            </c:ext>
          </c:extLst>
        </c:ser>
        <c:ser>
          <c:idx val="21"/>
          <c:order val="19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CURRENT'!$AH$9</c:f>
              <c:numCache>
                <c:formatCode>General</c:formatCode>
                <c:ptCount val="1"/>
                <c:pt idx="0">
                  <c:v>1.1230199999999999E-2</c:v>
                </c:pt>
              </c:numCache>
            </c:numRef>
          </c:xVal>
          <c:yVal>
            <c:numRef>
              <c:f>'CGShiftStudy CURRENT'!$AI$9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5DA-44F4-AF9D-79408A9C5541}"/>
            </c:ext>
          </c:extLst>
        </c:ser>
        <c:ser>
          <c:idx val="22"/>
          <c:order val="20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CURRENT'!$V$20</c:f>
              <c:numCache>
                <c:formatCode>General</c:formatCode>
                <c:ptCount val="1"/>
                <c:pt idx="0">
                  <c:v>-1.58227E-3</c:v>
                </c:pt>
              </c:numCache>
            </c:numRef>
          </c:xVal>
          <c:yVal>
            <c:numRef>
              <c:f>'CGShiftStudy CURRENT'!$W$20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5DA-44F4-AF9D-79408A9C5541}"/>
            </c:ext>
          </c:extLst>
        </c:ser>
        <c:ser>
          <c:idx val="23"/>
          <c:order val="21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CURRENT'!$X$20</c:f>
              <c:numCache>
                <c:formatCode>General</c:formatCode>
                <c:ptCount val="1"/>
                <c:pt idx="0">
                  <c:v>-1.42E-3</c:v>
                </c:pt>
              </c:numCache>
            </c:numRef>
          </c:xVal>
          <c:yVal>
            <c:numRef>
              <c:f>'CGShiftStudy CURRENT'!$Y$20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5DA-44F4-AF9D-79408A9C5541}"/>
            </c:ext>
          </c:extLst>
        </c:ser>
        <c:ser>
          <c:idx val="24"/>
          <c:order val="22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CURRENT'!$AB$20</c:f>
              <c:numCache>
                <c:formatCode>General</c:formatCode>
                <c:ptCount val="1"/>
                <c:pt idx="0">
                  <c:v>-1.30495E-3</c:v>
                </c:pt>
              </c:numCache>
            </c:numRef>
          </c:xVal>
          <c:yVal>
            <c:numRef>
              <c:f>'CGShiftStudy CURRENT'!$AC$20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5DA-44F4-AF9D-79408A9C5541}"/>
            </c:ext>
          </c:extLst>
        </c:ser>
        <c:ser>
          <c:idx val="26"/>
          <c:order val="23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CURRENT'!$AF$20</c:f>
              <c:numCache>
                <c:formatCode>General</c:formatCode>
                <c:ptCount val="1"/>
                <c:pt idx="0">
                  <c:v>-1.2260299999999999E-3</c:v>
                </c:pt>
              </c:numCache>
            </c:numRef>
          </c:xVal>
          <c:yVal>
            <c:numRef>
              <c:f>'CGShiftStudy CURRENT'!$AG$20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25DA-44F4-AF9D-79408A9C5541}"/>
            </c:ext>
          </c:extLst>
        </c:ser>
        <c:ser>
          <c:idx val="27"/>
          <c:order val="24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CURRENT'!$AH$20</c:f>
              <c:numCache>
                <c:formatCode>General</c:formatCode>
                <c:ptCount val="1"/>
                <c:pt idx="0">
                  <c:v>-1.15493E-3</c:v>
                </c:pt>
              </c:numCache>
            </c:numRef>
          </c:xVal>
          <c:yVal>
            <c:numRef>
              <c:f>'CGShiftStudy CURRENT'!$AI$20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25DA-44F4-AF9D-79408A9C5541}"/>
            </c:ext>
          </c:extLst>
        </c:ser>
        <c:ser>
          <c:idx val="9"/>
          <c:order val="25"/>
          <c:tx>
            <c:v>BOX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'CGShiftStudy CURRENT'!$AK$15:$AK$18</c:f>
              <c:numCache>
                <c:formatCode>General</c:formatCode>
                <c:ptCount val="4"/>
              </c:numCache>
            </c:numRef>
          </c:xVal>
          <c:yVal>
            <c:numRef>
              <c:f>'CGShiftStudy CURRENT'!$AL$15:$AL$18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1-4C3E-A75A-9FAA4CEEB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</c:valAx>
      <c:valAx>
        <c:axId val="188706958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2285633443485628"/>
          <c:y val="3.349537037037037E-2"/>
          <c:w val="0.14916615755434304"/>
          <c:h val="0.13141076115485564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CURRENT'!$D$10:$D$11</c:f>
              <c:numCache>
                <c:formatCode>0.00</c:formatCode>
                <c:ptCount val="2"/>
                <c:pt idx="0">
                  <c:v>-0.141731</c:v>
                </c:pt>
                <c:pt idx="1">
                  <c:v>-0.141731</c:v>
                </c:pt>
              </c:numCache>
            </c:numRef>
          </c:xVal>
          <c:yVal>
            <c:numRef>
              <c:f>'CGShiftStudy CURRENT'!$E$10:$E$11</c:f>
              <c:numCache>
                <c:formatCode>0.00</c:formatCode>
                <c:ptCount val="2"/>
                <c:pt idx="0">
                  <c:v>3.5347400000000002</c:v>
                </c:pt>
                <c:pt idx="1">
                  <c:v>-3.5347400000000002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B9-4F3F-AD1A-1D1D4A5021F1}"/>
            </c:ext>
          </c:extLst>
        </c:ser>
        <c:ser>
          <c:idx val="1"/>
          <c:order val="1"/>
          <c:tx>
            <c:v>Baseline,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CURRENT'!$D$21:$D$22</c:f>
              <c:numCache>
                <c:formatCode>General</c:formatCode>
                <c:ptCount val="2"/>
                <c:pt idx="0">
                  <c:v>-0.10243099999999999</c:v>
                </c:pt>
                <c:pt idx="1">
                  <c:v>-0.10243099999999999</c:v>
                </c:pt>
              </c:numCache>
            </c:numRef>
          </c:xVal>
          <c:yVal>
            <c:numRef>
              <c:f>'CGShiftStudy CURRENT'!$E$21:$E$22</c:f>
              <c:numCache>
                <c:formatCode>General</c:formatCode>
                <c:ptCount val="2"/>
                <c:pt idx="0">
                  <c:v>3.5785300000000002</c:v>
                </c:pt>
                <c:pt idx="1">
                  <c:v>-3.5785300000000002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B9-4F3F-AD1A-1D1D4A5021F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CURRENT'!$T$10:$T$11</c:f>
              <c:numCache>
                <c:formatCode>General</c:formatCode>
                <c:ptCount val="2"/>
                <c:pt idx="0">
                  <c:v>-0.98737299999999995</c:v>
                </c:pt>
                <c:pt idx="1">
                  <c:v>1.0744899999999999</c:v>
                </c:pt>
              </c:numCache>
            </c:numRef>
          </c:xVal>
          <c:yVal>
            <c:numRef>
              <c:f>'CGShiftStudy CURRENT'!$U$10:$U$11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B9-4F3F-AD1A-1D1D4A5021F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CURRENT'!$T$21:$T$22</c:f>
              <c:numCache>
                <c:formatCode>General</c:formatCode>
                <c:ptCount val="2"/>
                <c:pt idx="0">
                  <c:v>-0.82192299999999996</c:v>
                </c:pt>
                <c:pt idx="1">
                  <c:v>0.971306</c:v>
                </c:pt>
              </c:numCache>
            </c:numRef>
          </c:xVal>
          <c:yVal>
            <c:numRef>
              <c:f>'CGShiftStudy CURRENT'!$U$21:$U$22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B9-4F3F-AD1A-1D1D4A5021F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CURRENT'!$F$10:$F$11</c:f>
              <c:numCache>
                <c:formatCode>0.0000</c:formatCode>
                <c:ptCount val="2"/>
                <c:pt idx="0">
                  <c:v>-0.139714</c:v>
                </c:pt>
                <c:pt idx="1">
                  <c:v>-0.139714</c:v>
                </c:pt>
              </c:numCache>
            </c:numRef>
          </c:xVal>
          <c:yVal>
            <c:numRef>
              <c:f>'CGShiftStudy CURRENT'!$G$10:$G$11</c:f>
              <c:numCache>
                <c:formatCode>0.0000</c:formatCode>
                <c:ptCount val="2"/>
                <c:pt idx="0">
                  <c:v>3.4945400000000002</c:v>
                </c:pt>
                <c:pt idx="1">
                  <c:v>-3.4945400000000002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B9-4F3F-AD1A-1D1D4A5021F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CURRENT'!$H$10:$H$11</c:f>
              <c:numCache>
                <c:formatCode>General</c:formatCode>
                <c:ptCount val="2"/>
                <c:pt idx="0">
                  <c:v>-0.13766999999999999</c:v>
                </c:pt>
                <c:pt idx="1">
                  <c:v>-0.13766999999999999</c:v>
                </c:pt>
              </c:numCache>
            </c:numRef>
          </c:xVal>
          <c:yVal>
            <c:numRef>
              <c:f>'CGShiftStudy CURRENT'!$I$10:$I$11</c:f>
              <c:numCache>
                <c:formatCode>General</c:formatCode>
                <c:ptCount val="2"/>
                <c:pt idx="0">
                  <c:v>3.4539200000000001</c:v>
                </c:pt>
                <c:pt idx="1">
                  <c:v>-3.4539200000000001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B9-4F3F-AD1A-1D1D4A5021F1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CURRENT'!$J$10:$J$11</c:f>
              <c:numCache>
                <c:formatCode>General</c:formatCode>
                <c:ptCount val="2"/>
                <c:pt idx="0">
                  <c:v>-0.135597</c:v>
                </c:pt>
                <c:pt idx="1">
                  <c:v>-0.135597</c:v>
                </c:pt>
              </c:numCache>
            </c:numRef>
          </c:xVal>
          <c:yVal>
            <c:numRef>
              <c:f>'CGShiftStudy CURRENT'!$K$10:$K$11</c:f>
              <c:numCache>
                <c:formatCode>General</c:formatCode>
                <c:ptCount val="2"/>
                <c:pt idx="0">
                  <c:v>3.4128500000000002</c:v>
                </c:pt>
                <c:pt idx="1">
                  <c:v>-3.4128500000000002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B9-4F3F-AD1A-1D1D4A5021F1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CURRENT'!$N$10:$N$11</c:f>
              <c:numCache>
                <c:formatCode>General</c:formatCode>
                <c:ptCount val="2"/>
                <c:pt idx="0">
                  <c:v>-0.133494</c:v>
                </c:pt>
                <c:pt idx="1">
                  <c:v>-0.133494</c:v>
                </c:pt>
              </c:numCache>
            </c:numRef>
          </c:xVal>
          <c:yVal>
            <c:numRef>
              <c:f>'CGShiftStudy CURRENT'!$O$10:$O$11</c:f>
              <c:numCache>
                <c:formatCode>General</c:formatCode>
                <c:ptCount val="2"/>
                <c:pt idx="0">
                  <c:v>3.3713099999999998</c:v>
                </c:pt>
                <c:pt idx="1">
                  <c:v>-3.3713099999999998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B9-4F3F-AD1A-1D1D4A5021F1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CURRENT'!$P$10:$P$11</c:f>
              <c:numCache>
                <c:formatCode>General</c:formatCode>
                <c:ptCount val="2"/>
                <c:pt idx="0">
                  <c:v>-0.131359</c:v>
                </c:pt>
                <c:pt idx="1">
                  <c:v>-0.131359</c:v>
                </c:pt>
              </c:numCache>
            </c:numRef>
          </c:xVal>
          <c:yVal>
            <c:numRef>
              <c:f>'CGShiftStudy CURRENT'!$Q$10:$Q$11</c:f>
              <c:numCache>
                <c:formatCode>General</c:formatCode>
                <c:ptCount val="2"/>
                <c:pt idx="0">
                  <c:v>3.3292799999999998</c:v>
                </c:pt>
                <c:pt idx="1">
                  <c:v>-3.3292799999999998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B9-4F3F-AD1A-1D1D4A5021F1}"/>
            </c:ext>
          </c:extLst>
        </c:ser>
        <c:ser>
          <c:idx val="10"/>
          <c:order val="9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CURRENT'!$F$21:$F$22</c:f>
              <c:numCache>
                <c:formatCode>General</c:formatCode>
                <c:ptCount val="2"/>
                <c:pt idx="0">
                  <c:v>-0.10058</c:v>
                </c:pt>
                <c:pt idx="1">
                  <c:v>-0.10058</c:v>
                </c:pt>
              </c:numCache>
            </c:numRef>
          </c:xVal>
          <c:yVal>
            <c:numRef>
              <c:f>'CGShiftStudy CURRENT'!$G$21:$G$22</c:f>
              <c:numCache>
                <c:formatCode>General</c:formatCode>
                <c:ptCount val="2"/>
                <c:pt idx="0">
                  <c:v>3.53742</c:v>
                </c:pt>
                <c:pt idx="1">
                  <c:v>-3.53742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B9-4F3F-AD1A-1D1D4A5021F1}"/>
            </c:ext>
          </c:extLst>
        </c:ser>
        <c:ser>
          <c:idx val="11"/>
          <c:order val="10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CURRENT'!$H$21:$H$22</c:f>
              <c:numCache>
                <c:formatCode>General</c:formatCode>
                <c:ptCount val="2"/>
                <c:pt idx="0">
                  <c:v>-9.8699200000000001E-2</c:v>
                </c:pt>
                <c:pt idx="1">
                  <c:v>-9.8699200000000001E-2</c:v>
                </c:pt>
              </c:numCache>
            </c:numRef>
          </c:xVal>
          <c:yVal>
            <c:numRef>
              <c:f>'CGShiftStudy CURRENT'!$I$21:$I$22</c:f>
              <c:numCache>
                <c:formatCode>General</c:formatCode>
                <c:ptCount val="2"/>
                <c:pt idx="0">
                  <c:v>3.4959099999999999</c:v>
                </c:pt>
                <c:pt idx="1">
                  <c:v>-3.4959099999999999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B9-4F3F-AD1A-1D1D4A5021F1}"/>
            </c:ext>
          </c:extLst>
        </c:ser>
        <c:ser>
          <c:idx val="12"/>
          <c:order val="11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CURRENT'!$J$21:$J$22</c:f>
              <c:numCache>
                <c:formatCode>General</c:formatCode>
                <c:ptCount val="2"/>
                <c:pt idx="0">
                  <c:v>-9.6787200000000004E-2</c:v>
                </c:pt>
                <c:pt idx="1">
                  <c:v>-9.6787200000000004E-2</c:v>
                </c:pt>
              </c:numCache>
            </c:numRef>
          </c:xVal>
          <c:yVal>
            <c:numRef>
              <c:f>'CGShiftStudy CURRENT'!$K$21:$K$22</c:f>
              <c:numCache>
                <c:formatCode>General</c:formatCode>
                <c:ptCount val="2"/>
                <c:pt idx="0">
                  <c:v>3.45397</c:v>
                </c:pt>
                <c:pt idx="1">
                  <c:v>-3.45397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B9-4F3F-AD1A-1D1D4A5021F1}"/>
            </c:ext>
          </c:extLst>
        </c:ser>
        <c:ser>
          <c:idx val="14"/>
          <c:order val="12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CURRENT'!$N$21:$N$22</c:f>
              <c:numCache>
                <c:formatCode>General</c:formatCode>
                <c:ptCount val="2"/>
                <c:pt idx="0">
                  <c:v>-9.4841300000000003E-2</c:v>
                </c:pt>
                <c:pt idx="1">
                  <c:v>-9.4841300000000003E-2</c:v>
                </c:pt>
              </c:numCache>
            </c:numRef>
          </c:xVal>
          <c:yVal>
            <c:numRef>
              <c:f>'CGShiftStudy CURRENT'!$O$21:$O$22</c:f>
              <c:numCache>
                <c:formatCode>General</c:formatCode>
                <c:ptCount val="2"/>
                <c:pt idx="0">
                  <c:v>3.4115899999999999</c:v>
                </c:pt>
                <c:pt idx="1">
                  <c:v>-3.4115899999999999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B9-4F3F-AD1A-1D1D4A5021F1}"/>
            </c:ext>
          </c:extLst>
        </c:ser>
        <c:ser>
          <c:idx val="15"/>
          <c:order val="13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CURRENT'!$P$21:$P$22</c:f>
              <c:numCache>
                <c:formatCode>General</c:formatCode>
                <c:ptCount val="2"/>
                <c:pt idx="0">
                  <c:v>-9.2858999999999997E-2</c:v>
                </c:pt>
                <c:pt idx="1">
                  <c:v>-9.2858999999999997E-2</c:v>
                </c:pt>
              </c:numCache>
            </c:numRef>
          </c:xVal>
          <c:yVal>
            <c:numRef>
              <c:f>'CGShiftStudy CURRENT'!$Q$21:$Q$22</c:f>
              <c:numCache>
                <c:formatCode>General</c:formatCode>
                <c:ptCount val="2"/>
                <c:pt idx="0">
                  <c:v>3.3687399999999998</c:v>
                </c:pt>
                <c:pt idx="1">
                  <c:v>-3.3687399999999998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B9-4F3F-AD1A-1D1D4A5021F1}"/>
            </c:ext>
          </c:extLst>
        </c:ser>
        <c:ser>
          <c:idx val="16"/>
          <c:order val="14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CURRENT'!$V$10:$V$11</c:f>
              <c:numCache>
                <c:formatCode>General</c:formatCode>
                <c:ptCount val="2"/>
                <c:pt idx="0">
                  <c:v>-1.01579</c:v>
                </c:pt>
                <c:pt idx="1">
                  <c:v>1.10337</c:v>
                </c:pt>
              </c:numCache>
            </c:numRef>
          </c:xVal>
          <c:yVal>
            <c:numRef>
              <c:f>'CGShiftStudy CURRENT'!$W$10:$W$11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B9-4F3F-AD1A-1D1D4A5021F1}"/>
            </c:ext>
          </c:extLst>
        </c:ser>
        <c:ser>
          <c:idx val="17"/>
          <c:order val="15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CURRENT'!$X$10:$X$11</c:f>
              <c:numCache>
                <c:formatCode>General</c:formatCode>
                <c:ptCount val="2"/>
                <c:pt idx="0">
                  <c:v>-1.0432900000000001</c:v>
                </c:pt>
                <c:pt idx="1">
                  <c:v>1.13134</c:v>
                </c:pt>
              </c:numCache>
            </c:numRef>
          </c:xVal>
          <c:yVal>
            <c:numRef>
              <c:f>'CGShiftStudy CURRENT'!$Y$10:$Y$11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B9-4F3F-AD1A-1D1D4A5021F1}"/>
            </c:ext>
          </c:extLst>
        </c:ser>
        <c:ser>
          <c:idx val="18"/>
          <c:order val="16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CURRENT'!$AB$10:$AB$11</c:f>
              <c:numCache>
                <c:formatCode>General</c:formatCode>
                <c:ptCount val="2"/>
                <c:pt idx="0">
                  <c:v>-1.06996</c:v>
                </c:pt>
                <c:pt idx="1">
                  <c:v>1.1585000000000001</c:v>
                </c:pt>
              </c:numCache>
            </c:numRef>
          </c:xVal>
          <c:yVal>
            <c:numRef>
              <c:f>'CGShiftStudy CURRENT'!$AC$10:$AC$11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B9-4F3F-AD1A-1D1D4A5021F1}"/>
            </c:ext>
          </c:extLst>
        </c:ser>
        <c:ser>
          <c:idx val="19"/>
          <c:order val="17"/>
          <c:tx>
            <c:v>B 0 0.21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CURRENT'!$AD$10:$AD$11</c:f>
              <c:numCache>
                <c:formatCode>General</c:formatCode>
                <c:ptCount val="2"/>
              </c:numCache>
            </c:numRef>
          </c:xVal>
          <c:yVal>
            <c:numRef>
              <c:f>'CGShiftStudy CURRENT'!$AE$10:$AE$11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B9-4F3F-AD1A-1D1D4A5021F1}"/>
            </c:ext>
          </c:extLst>
        </c:ser>
        <c:ser>
          <c:idx val="20"/>
          <c:order val="18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CURRENT'!$AF$10:$AF$11</c:f>
              <c:numCache>
                <c:formatCode>General</c:formatCode>
                <c:ptCount val="2"/>
                <c:pt idx="0">
                  <c:v>-1.0958699999999999</c:v>
                </c:pt>
                <c:pt idx="1">
                  <c:v>1.1849000000000001</c:v>
                </c:pt>
              </c:numCache>
            </c:numRef>
          </c:xVal>
          <c:yVal>
            <c:numRef>
              <c:f>'CGShiftStudy CURRENT'!$AG$10:$AG$11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B9-4F3F-AD1A-1D1D4A5021F1}"/>
            </c:ext>
          </c:extLst>
        </c:ser>
        <c:ser>
          <c:idx val="21"/>
          <c:order val="19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CURRENT'!$AH$10:$AH$11</c:f>
              <c:numCache>
                <c:formatCode>General</c:formatCode>
                <c:ptCount val="2"/>
                <c:pt idx="0">
                  <c:v>-1.1210599999999999</c:v>
                </c:pt>
                <c:pt idx="1">
                  <c:v>1.21062</c:v>
                </c:pt>
              </c:numCache>
            </c:numRef>
          </c:xVal>
          <c:yVal>
            <c:numRef>
              <c:f>'CGShiftStudy CURRENT'!$AI$10:$AI$11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B9-4F3F-AD1A-1D1D4A5021F1}"/>
            </c:ext>
          </c:extLst>
        </c:ser>
        <c:ser>
          <c:idx val="22"/>
          <c:order val="20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CURRENT'!$V$21:$V$22</c:f>
              <c:numCache>
                <c:formatCode>General</c:formatCode>
                <c:ptCount val="2"/>
                <c:pt idx="0">
                  <c:v>-0.85962099999999997</c:v>
                </c:pt>
                <c:pt idx="1">
                  <c:v>1.0099499999999999</c:v>
                </c:pt>
              </c:numCache>
            </c:numRef>
          </c:xVal>
          <c:yVal>
            <c:numRef>
              <c:f>'CGShiftStudy CURRENT'!$W$21:$W$22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B9-4F3F-AD1A-1D1D4A5021F1}"/>
            </c:ext>
          </c:extLst>
        </c:ser>
        <c:ser>
          <c:idx val="23"/>
          <c:order val="21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CURRENT'!$X$21:$X$22</c:f>
              <c:numCache>
                <c:formatCode>General</c:formatCode>
                <c:ptCount val="2"/>
                <c:pt idx="0">
                  <c:v>-0.89539599999999997</c:v>
                </c:pt>
                <c:pt idx="1">
                  <c:v>1.04661</c:v>
                </c:pt>
              </c:numCache>
            </c:numRef>
          </c:xVal>
          <c:yVal>
            <c:numRef>
              <c:f>'CGShiftStudy CURRENT'!$Y$21:$Y$22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B9-4F3F-AD1A-1D1D4A5021F1}"/>
            </c:ext>
          </c:extLst>
        </c:ser>
        <c:ser>
          <c:idx val="24"/>
          <c:order val="22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CURRENT'!$AB$21:$AB$22</c:f>
              <c:numCache>
                <c:formatCode>General</c:formatCode>
                <c:ptCount val="2"/>
                <c:pt idx="0">
                  <c:v>-0.92949499999999996</c:v>
                </c:pt>
                <c:pt idx="1">
                  <c:v>1.08155</c:v>
                </c:pt>
              </c:numCache>
            </c:numRef>
          </c:xVal>
          <c:yVal>
            <c:numRef>
              <c:f>'CGShiftStudy CURRENT'!$AC$21:$AC$22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B9-4F3F-AD1A-1D1D4A5021F1}"/>
            </c:ext>
          </c:extLst>
        </c:ser>
        <c:ser>
          <c:idx val="26"/>
          <c:order val="23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CURRENT'!$AF$21:$AF$22</c:f>
              <c:numCache>
                <c:formatCode>General</c:formatCode>
                <c:ptCount val="2"/>
                <c:pt idx="0">
                  <c:v>-0.96213800000000005</c:v>
                </c:pt>
                <c:pt idx="1">
                  <c:v>1.1149899999999999</c:v>
                </c:pt>
              </c:numCache>
            </c:numRef>
          </c:xVal>
          <c:yVal>
            <c:numRef>
              <c:f>'CGShiftStudy CURRENT'!$AG$21:$AG$22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B9-4F3F-AD1A-1D1D4A5021F1}"/>
            </c:ext>
          </c:extLst>
        </c:ser>
        <c:ser>
          <c:idx val="27"/>
          <c:order val="24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CURRENT'!$AH$21:$AH$22</c:f>
              <c:numCache>
                <c:formatCode>General</c:formatCode>
                <c:ptCount val="2"/>
                <c:pt idx="0">
                  <c:v>-0.99355000000000004</c:v>
                </c:pt>
                <c:pt idx="1">
                  <c:v>1.1471100000000001</c:v>
                </c:pt>
              </c:numCache>
            </c:numRef>
          </c:xVal>
          <c:yVal>
            <c:numRef>
              <c:f>'CGShiftStudy CURRENT'!$AI$21:$AI$22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B9-4F3F-AD1A-1D1D4A502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in val="-1.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0.2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2.886574074074074E-2"/>
          <c:w val="0.16337801200145574"/>
          <c:h val="0.1342182487605715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166735305035105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Baseline,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CURRENT'!$D$4:$D$5</c:f>
              <c:numCache>
                <c:formatCode>0.00</c:formatCode>
                <c:ptCount val="2"/>
                <c:pt idx="0">
                  <c:v>-0.808064</c:v>
                </c:pt>
                <c:pt idx="1">
                  <c:v>-0.808064</c:v>
                </c:pt>
              </c:numCache>
            </c:numRef>
          </c:xVal>
          <c:yVal>
            <c:numRef>
              <c:f>'CGShiftStudy CURRENT'!$E$4:$E$5</c:f>
              <c:numCache>
                <c:formatCode>0.00</c:formatCode>
                <c:ptCount val="2"/>
                <c:pt idx="0">
                  <c:v>1.90211</c:v>
                </c:pt>
                <c:pt idx="1">
                  <c:v>-1.90211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A-44F4-AF9D-79408A9C5541}"/>
            </c:ext>
          </c:extLst>
        </c:ser>
        <c:ser>
          <c:idx val="1"/>
          <c:order val="1"/>
          <c:tx>
            <c:v>Baseline,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CURRENT'!$D$15:$D$16</c:f>
              <c:numCache>
                <c:formatCode>General</c:formatCode>
                <c:ptCount val="2"/>
                <c:pt idx="0">
                  <c:v>-0.78597499999999998</c:v>
                </c:pt>
                <c:pt idx="1">
                  <c:v>-0.78597499999999998</c:v>
                </c:pt>
              </c:numCache>
            </c:numRef>
          </c:xVal>
          <c:yVal>
            <c:numRef>
              <c:f>'CGShiftStudy CURRENT'!$E$15:$E$16</c:f>
              <c:numCache>
                <c:formatCode>General</c:formatCode>
                <c:ptCount val="2"/>
                <c:pt idx="0">
                  <c:v>1.8315300000000001</c:v>
                </c:pt>
                <c:pt idx="1">
                  <c:v>-1.8315300000000001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5DA-44F4-AF9D-79408A9C5541}"/>
            </c:ext>
          </c:extLst>
        </c:ser>
        <c:ser>
          <c:idx val="2"/>
          <c:order val="2"/>
          <c:tx>
            <c:v>BIRE, 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CURRENT'!$T$4:$T$5</c:f>
              <c:numCache>
                <c:formatCode>General</c:formatCode>
                <c:ptCount val="2"/>
                <c:pt idx="0">
                  <c:v>-0.79595000000000005</c:v>
                </c:pt>
                <c:pt idx="1">
                  <c:v>-0.79595000000000005</c:v>
                </c:pt>
              </c:numCache>
            </c:numRef>
          </c:xVal>
          <c:yVal>
            <c:numRef>
              <c:f>'CGShiftStudy CURRENT'!$U$4:$U$5</c:f>
              <c:numCache>
                <c:formatCode>General</c:formatCode>
                <c:ptCount val="2"/>
                <c:pt idx="0">
                  <c:v>3.1145200000000002</c:v>
                </c:pt>
                <c:pt idx="1">
                  <c:v>-3.1145200000000002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5DA-44F4-AF9D-79408A9C5541}"/>
            </c:ext>
          </c:extLst>
        </c:ser>
        <c:ser>
          <c:idx val="3"/>
          <c:order val="3"/>
          <c:tx>
            <c:v>BIRE, 60° Bank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CURRENT'!$T$15:$T$16</c:f>
              <c:numCache>
                <c:formatCode>General</c:formatCode>
                <c:ptCount val="2"/>
                <c:pt idx="0">
                  <c:v>-0.774204</c:v>
                </c:pt>
                <c:pt idx="1">
                  <c:v>-0.774204</c:v>
                </c:pt>
              </c:numCache>
            </c:numRef>
          </c:xVal>
          <c:yVal>
            <c:numRef>
              <c:f>'CGShiftStudy CURRENT'!$U$15:$U$16</c:f>
              <c:numCache>
                <c:formatCode>General</c:formatCode>
                <c:ptCount val="2"/>
                <c:pt idx="0">
                  <c:v>3.0686399999999998</c:v>
                </c:pt>
                <c:pt idx="1">
                  <c:v>-3.0686399999999998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5DA-44F4-AF9D-79408A9C5541}"/>
            </c:ext>
          </c:extLst>
        </c:ser>
        <c:ser>
          <c:idx val="9"/>
          <c:order val="4"/>
          <c:tx>
            <c:v>Split Pt. 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'CGShiftStudy CURRENT'!$L$4:$L$5</c:f>
              <c:numCache>
                <c:formatCode>General</c:formatCode>
                <c:ptCount val="2"/>
                <c:pt idx="0">
                  <c:v>-0.79200000000000004</c:v>
                </c:pt>
              </c:numCache>
            </c:numRef>
          </c:xVal>
          <c:yVal>
            <c:numRef>
              <c:f>'CGShiftStudy CURRENT'!$M$4:$M$5</c:f>
              <c:numCache>
                <c:formatCode>General</c:formatCode>
                <c:ptCount val="2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5DA-44F4-AF9D-79408A9C5541}"/>
            </c:ext>
          </c:extLst>
        </c:ser>
        <c:ser>
          <c:idx val="13"/>
          <c:order val="5"/>
          <c:tx>
            <c:v>Split Pt. 60° Bank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'CGShiftStudy CURRENT'!$L$15:$L$16</c:f>
              <c:numCache>
                <c:formatCode>General</c:formatCode>
                <c:ptCount val="2"/>
                <c:pt idx="0">
                  <c:v>-0.77500000000000002</c:v>
                </c:pt>
              </c:numCache>
            </c:numRef>
          </c:xVal>
          <c:yVal>
            <c:numRef>
              <c:f>'CGShiftStudy CURRENT'!$M$15:$M$16</c:f>
              <c:numCache>
                <c:formatCode>General</c:formatCode>
                <c:ptCount val="2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5DA-44F4-AF9D-79408A9C5541}"/>
            </c:ext>
          </c:extLst>
        </c:ser>
        <c:ser>
          <c:idx val="4"/>
          <c:order val="6"/>
          <c:tx>
            <c:v>F 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CURRENT'!$F$4:$F$5</c:f>
              <c:numCache>
                <c:formatCode>0.0000</c:formatCode>
                <c:ptCount val="2"/>
                <c:pt idx="0">
                  <c:v>-0.80391299999999999</c:v>
                </c:pt>
                <c:pt idx="1">
                  <c:v>-0.80391299999999999</c:v>
                </c:pt>
              </c:numCache>
            </c:numRef>
          </c:xVal>
          <c:yVal>
            <c:numRef>
              <c:f>'CGShiftStudy CURRENT'!$G$4:$G$5</c:f>
              <c:numCache>
                <c:formatCode>0.0000</c:formatCode>
                <c:ptCount val="2"/>
                <c:pt idx="0">
                  <c:v>1.54908</c:v>
                </c:pt>
                <c:pt idx="1">
                  <c:v>-1.54908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5DA-44F4-AF9D-79408A9C5541}"/>
            </c:ext>
          </c:extLst>
        </c:ser>
        <c:ser>
          <c:idx val="5"/>
          <c:order val="7"/>
          <c:tx>
            <c:v>F 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CURRENT'!$H$4:$H$5</c:f>
              <c:numCache>
                <c:formatCode>General</c:formatCode>
                <c:ptCount val="2"/>
                <c:pt idx="0">
                  <c:v>-0.79970200000000002</c:v>
                </c:pt>
                <c:pt idx="1">
                  <c:v>-0.79970200000000002</c:v>
                </c:pt>
              </c:numCache>
            </c:numRef>
          </c:xVal>
          <c:yVal>
            <c:numRef>
              <c:f>'CGShiftStudy CURRENT'!$I$4:$I$5</c:f>
              <c:numCache>
                <c:formatCode>General</c:formatCode>
                <c:ptCount val="2"/>
                <c:pt idx="0">
                  <c:v>1.0870500000000001</c:v>
                </c:pt>
                <c:pt idx="1">
                  <c:v>-1.0870500000000001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5DA-44F4-AF9D-79408A9C5541}"/>
            </c:ext>
          </c:extLst>
        </c:ser>
        <c:ser>
          <c:idx val="6"/>
          <c:order val="8"/>
          <c:tx>
            <c:v>F 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CURRENT'!$J$4:$J$5</c:f>
              <c:numCache>
                <c:formatCode>General</c:formatCode>
                <c:ptCount val="2"/>
                <c:pt idx="0">
                  <c:v>-0.99066500000000002</c:v>
                </c:pt>
                <c:pt idx="1">
                  <c:v>-0.591692</c:v>
                </c:pt>
              </c:numCache>
            </c:numRef>
          </c:xVal>
          <c:yVal>
            <c:numRef>
              <c:f>'CGShiftStudy CURRENT'!$K$4:$K$5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5DA-44F4-AF9D-79408A9C5541}"/>
            </c:ext>
          </c:extLst>
        </c:ser>
        <c:ser>
          <c:idx val="7"/>
          <c:order val="9"/>
          <c:tx>
            <c:v>F 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CURRENT'!$N$4:$N$5</c:f>
              <c:numCache>
                <c:formatCode>General</c:formatCode>
                <c:ptCount val="2"/>
                <c:pt idx="0">
                  <c:v>-1.91181</c:v>
                </c:pt>
                <c:pt idx="1">
                  <c:v>0.35011700000000001</c:v>
                </c:pt>
              </c:numCache>
            </c:numRef>
          </c:xVal>
          <c:yVal>
            <c:numRef>
              <c:f>'CGShiftStudy CURRENT'!$O$4:$O$5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5DA-44F4-AF9D-79408A9C5541}"/>
            </c:ext>
          </c:extLst>
        </c:ser>
        <c:ser>
          <c:idx val="8"/>
          <c:order val="10"/>
          <c:tx>
            <c:v>F 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CURRENT'!$P$4:$P$5</c:f>
              <c:numCache>
                <c:formatCode>General</c:formatCode>
                <c:ptCount val="2"/>
                <c:pt idx="0">
                  <c:v>-2.35995</c:v>
                </c:pt>
                <c:pt idx="1">
                  <c:v>0.79173700000000002</c:v>
                </c:pt>
              </c:numCache>
            </c:numRef>
          </c:xVal>
          <c:yVal>
            <c:numRef>
              <c:f>'CGShiftStudy CURRENT'!$Q$4:$Q$5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5DA-44F4-AF9D-79408A9C5541}"/>
            </c:ext>
          </c:extLst>
        </c:ser>
        <c:ser>
          <c:idx val="10"/>
          <c:order val="11"/>
          <c:tx>
            <c:v>F 60 0.8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CURRENT'!$F$15:$F$16</c:f>
              <c:numCache>
                <c:formatCode>General</c:formatCode>
                <c:ptCount val="2"/>
                <c:pt idx="0">
                  <c:v>-0.78224899999999997</c:v>
                </c:pt>
                <c:pt idx="1">
                  <c:v>-0.78224899999999997</c:v>
                </c:pt>
              </c:numCache>
            </c:numRef>
          </c:xVal>
          <c:yVal>
            <c:numRef>
              <c:f>'CGShiftStudy CURRENT'!$G$15:$G$16</c:f>
              <c:numCache>
                <c:formatCode>General</c:formatCode>
                <c:ptCount val="2"/>
                <c:pt idx="0">
                  <c:v>1.47912</c:v>
                </c:pt>
                <c:pt idx="1">
                  <c:v>-1.47912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5DA-44F4-AF9D-79408A9C5541}"/>
            </c:ext>
          </c:extLst>
        </c:ser>
        <c:ser>
          <c:idx val="11"/>
          <c:order val="12"/>
          <c:tx>
            <c:v>F 60 0.6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CURRENT'!$H$15:$H$16</c:f>
              <c:numCache>
                <c:formatCode>General</c:formatCode>
                <c:ptCount val="2"/>
                <c:pt idx="0">
                  <c:v>-0.778528</c:v>
                </c:pt>
                <c:pt idx="1">
                  <c:v>-0.778528</c:v>
                </c:pt>
              </c:numCache>
            </c:numRef>
          </c:xVal>
          <c:yVal>
            <c:numRef>
              <c:f>'CGShiftStudy CURRENT'!$I$15:$I$16</c:f>
              <c:numCache>
                <c:formatCode>General</c:formatCode>
                <c:ptCount val="2"/>
                <c:pt idx="0">
                  <c:v>1.0105599999999999</c:v>
                </c:pt>
                <c:pt idx="1">
                  <c:v>-1.0105599999999999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5DA-44F4-AF9D-79408A9C5541}"/>
            </c:ext>
          </c:extLst>
        </c:ser>
        <c:ser>
          <c:idx val="12"/>
          <c:order val="13"/>
          <c:tx>
            <c:v>F 60 0.4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CURRENT'!$J$15:$J$16</c:f>
              <c:numCache>
                <c:formatCode>General</c:formatCode>
                <c:ptCount val="2"/>
                <c:pt idx="0">
                  <c:v>-1.1563399999999999</c:v>
                </c:pt>
                <c:pt idx="1">
                  <c:v>-0.39227200000000001</c:v>
                </c:pt>
              </c:numCache>
            </c:numRef>
          </c:xVal>
          <c:yVal>
            <c:numRef>
              <c:f>'CGShiftStudy CURRENT'!$K$15:$K$16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5DA-44F4-AF9D-79408A9C5541}"/>
            </c:ext>
          </c:extLst>
        </c:ser>
        <c:ser>
          <c:idx val="14"/>
          <c:order val="14"/>
          <c:tx>
            <c:v>F 60 0.2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CURRENT'!$N$15:$N$16</c:f>
              <c:numCache>
                <c:formatCode>General</c:formatCode>
                <c:ptCount val="2"/>
                <c:pt idx="0">
                  <c:v>-1.9170100000000001</c:v>
                </c:pt>
                <c:pt idx="1">
                  <c:v>0.37370700000000001</c:v>
                </c:pt>
              </c:numCache>
            </c:numRef>
          </c:xVal>
          <c:yVal>
            <c:numRef>
              <c:f>'CGShiftStudy CURRENT'!$O$15:$O$16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5DA-44F4-AF9D-79408A9C5541}"/>
            </c:ext>
          </c:extLst>
        </c:ser>
        <c:ser>
          <c:idx val="15"/>
          <c:order val="15"/>
          <c:tx>
            <c:v>F 60 0.0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CURRENT'!$P$15:$P$16</c:f>
              <c:numCache>
                <c:formatCode>General</c:formatCode>
                <c:ptCount val="2"/>
                <c:pt idx="0">
                  <c:v>-2.3458399999999999</c:v>
                </c:pt>
                <c:pt idx="1">
                  <c:v>0.80661700000000003</c:v>
                </c:pt>
              </c:numCache>
            </c:numRef>
          </c:xVal>
          <c:yVal>
            <c:numRef>
              <c:f>'CGShiftStudy CURRENT'!$Q$15:$Q$16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5DA-44F4-AF9D-79408A9C5541}"/>
            </c:ext>
          </c:extLst>
        </c:ser>
        <c:ser>
          <c:idx val="16"/>
          <c:order val="16"/>
          <c:tx>
            <c:v>B 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CURRENT'!$V$4:$V$5</c:f>
              <c:numCache>
                <c:formatCode>General</c:formatCode>
                <c:ptCount val="2"/>
                <c:pt idx="0">
                  <c:v>-0.79164199999999996</c:v>
                </c:pt>
                <c:pt idx="1">
                  <c:v>-0.79164199999999996</c:v>
                </c:pt>
              </c:numCache>
            </c:numRef>
          </c:xVal>
          <c:yVal>
            <c:numRef>
              <c:f>'CGShiftStudy CURRENT'!$W$4:$W$5</c:f>
              <c:numCache>
                <c:formatCode>General</c:formatCode>
                <c:ptCount val="2"/>
                <c:pt idx="0">
                  <c:v>2.91751</c:v>
                </c:pt>
                <c:pt idx="1">
                  <c:v>-2.91751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5DA-44F4-AF9D-79408A9C5541}"/>
            </c:ext>
          </c:extLst>
        </c:ser>
        <c:ser>
          <c:idx val="17"/>
          <c:order val="17"/>
          <c:tx>
            <c:v>B 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CURRENT'!$X$4:$X$5</c:f>
              <c:numCache>
                <c:formatCode>General</c:formatCode>
                <c:ptCount val="2"/>
                <c:pt idx="0">
                  <c:v>-0.78734599999999999</c:v>
                </c:pt>
                <c:pt idx="1">
                  <c:v>-0.78734599999999999</c:v>
                </c:pt>
              </c:numCache>
            </c:numRef>
          </c:xVal>
          <c:yVal>
            <c:numRef>
              <c:f>'CGShiftStudy CURRENT'!$Y$4:$Y$5</c:f>
              <c:numCache>
                <c:formatCode>General</c:formatCode>
                <c:ptCount val="2"/>
                <c:pt idx="0">
                  <c:v>2.7062300000000001</c:v>
                </c:pt>
                <c:pt idx="1">
                  <c:v>-2.7062300000000001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5DA-44F4-AF9D-79408A9C5541}"/>
            </c:ext>
          </c:extLst>
        </c:ser>
        <c:ser>
          <c:idx val="18"/>
          <c:order val="18"/>
          <c:tx>
            <c:v>B 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CURRENT'!$AB$4:$AB$5</c:f>
              <c:numCache>
                <c:formatCode>General</c:formatCode>
                <c:ptCount val="2"/>
                <c:pt idx="0">
                  <c:v>-0.78306200000000004</c:v>
                </c:pt>
                <c:pt idx="1">
                  <c:v>-0.78306200000000004</c:v>
                </c:pt>
              </c:numCache>
            </c:numRef>
          </c:xVal>
          <c:yVal>
            <c:numRef>
              <c:f>'CGShiftStudy CURRENT'!$AC$4:$AC$5</c:f>
              <c:numCache>
                <c:formatCode>General</c:formatCode>
                <c:ptCount val="2"/>
                <c:pt idx="0">
                  <c:v>2.47702</c:v>
                </c:pt>
                <c:pt idx="1">
                  <c:v>-2.47702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5DA-44F4-AF9D-79408A9C5541}"/>
            </c:ext>
          </c:extLst>
        </c:ser>
        <c:ser>
          <c:idx val="19"/>
          <c:order val="19"/>
          <c:tx>
            <c:v>B 0 0.35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CURRENT'!$AD$4:$AD$5</c:f>
              <c:numCache>
                <c:formatCode>General</c:formatCode>
                <c:ptCount val="2"/>
              </c:numCache>
            </c:numRef>
          </c:xVal>
          <c:yVal>
            <c:numRef>
              <c:f>'CGShiftStudy CURRENT'!$AE$4:$AE$5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5DA-44F4-AF9D-79408A9C5541}"/>
            </c:ext>
          </c:extLst>
        </c:ser>
        <c:ser>
          <c:idx val="20"/>
          <c:order val="20"/>
          <c:tx>
            <c:v>B 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CURRENT'!$AF$4:$AF$5</c:f>
              <c:numCache>
                <c:formatCode>General</c:formatCode>
                <c:ptCount val="2"/>
                <c:pt idx="0">
                  <c:v>-0.77879699999999996</c:v>
                </c:pt>
                <c:pt idx="1">
                  <c:v>-0.77879699999999996</c:v>
                </c:pt>
              </c:numCache>
            </c:numRef>
          </c:xVal>
          <c:yVal>
            <c:numRef>
              <c:f>'CGShiftStudy CURRENT'!$AG$4:$AG$5</c:f>
              <c:numCache>
                <c:formatCode>General</c:formatCode>
                <c:ptCount val="2"/>
                <c:pt idx="0">
                  <c:v>2.22437</c:v>
                </c:pt>
                <c:pt idx="1">
                  <c:v>-2.22437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5DA-44F4-AF9D-79408A9C5541}"/>
            </c:ext>
          </c:extLst>
        </c:ser>
        <c:ser>
          <c:idx val="21"/>
          <c:order val="21"/>
          <c:tx>
            <c:v>B 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CURRENT'!$AH$4:$AH$5</c:f>
              <c:numCache>
                <c:formatCode>General</c:formatCode>
                <c:ptCount val="2"/>
                <c:pt idx="0">
                  <c:v>-0.77455700000000005</c:v>
                </c:pt>
                <c:pt idx="1">
                  <c:v>-0.77455700000000005</c:v>
                </c:pt>
              </c:numCache>
            </c:numRef>
          </c:xVal>
          <c:yVal>
            <c:numRef>
              <c:f>'CGShiftStudy CURRENT'!$AI$4:$AI$5</c:f>
              <c:numCache>
                <c:formatCode>General</c:formatCode>
                <c:ptCount val="2"/>
                <c:pt idx="0">
                  <c:v>1.93912</c:v>
                </c:pt>
                <c:pt idx="1">
                  <c:v>-1.93912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5DA-44F4-AF9D-79408A9C5541}"/>
            </c:ext>
          </c:extLst>
        </c:ser>
        <c:ser>
          <c:idx val="22"/>
          <c:order val="22"/>
          <c:tx>
            <c:v>B 60 0.8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CURRENT'!$V$15:$V$16</c:f>
              <c:numCache>
                <c:formatCode>General</c:formatCode>
                <c:ptCount val="2"/>
                <c:pt idx="0">
                  <c:v>-0.77032999999999996</c:v>
                </c:pt>
                <c:pt idx="1">
                  <c:v>-0.77032999999999996</c:v>
                </c:pt>
              </c:numCache>
            </c:numRef>
          </c:xVal>
          <c:yVal>
            <c:numRef>
              <c:f>'CGShiftStudy CURRENT'!$W$15:$W$16</c:f>
              <c:numCache>
                <c:formatCode>General</c:formatCode>
                <c:ptCount val="2"/>
                <c:pt idx="0">
                  <c:v>2.8782800000000002</c:v>
                </c:pt>
                <c:pt idx="1">
                  <c:v>-2.8782800000000002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5DA-44F4-AF9D-79408A9C5541}"/>
            </c:ext>
          </c:extLst>
        </c:ser>
        <c:ser>
          <c:idx val="23"/>
          <c:order val="23"/>
          <c:tx>
            <c:v>B 60 0.6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CURRENT'!$X$15:$X$16</c:f>
              <c:numCache>
                <c:formatCode>General</c:formatCode>
                <c:ptCount val="2"/>
                <c:pt idx="0">
                  <c:v>-0.76647699999999996</c:v>
                </c:pt>
                <c:pt idx="1">
                  <c:v>-0.76647699999999996</c:v>
                </c:pt>
              </c:numCache>
            </c:numRef>
          </c:xVal>
          <c:yVal>
            <c:numRef>
              <c:f>'CGShiftStudy CURRENT'!$Y$15:$Y$16</c:f>
              <c:numCache>
                <c:formatCode>General</c:formatCode>
                <c:ptCount val="2"/>
                <c:pt idx="0">
                  <c:v>2.6745399999999999</c:v>
                </c:pt>
                <c:pt idx="1">
                  <c:v>-2.6745399999999999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5DA-44F4-AF9D-79408A9C5541}"/>
            </c:ext>
          </c:extLst>
        </c:ser>
        <c:ser>
          <c:idx val="24"/>
          <c:order val="24"/>
          <c:tx>
            <c:v>B 60 0.4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CURRENT'!$AB$15:$AB$16</c:f>
              <c:numCache>
                <c:formatCode>General</c:formatCode>
                <c:ptCount val="2"/>
                <c:pt idx="0">
                  <c:v>-0.76264699999999996</c:v>
                </c:pt>
                <c:pt idx="1">
                  <c:v>-0.76264699999999996</c:v>
                </c:pt>
              </c:numCache>
            </c:numRef>
          </c:xVal>
          <c:yVal>
            <c:numRef>
              <c:f>'CGShiftStudy CURRENT'!$AC$15:$AC$16</c:f>
              <c:numCache>
                <c:formatCode>General</c:formatCode>
                <c:ptCount val="2"/>
                <c:pt idx="0">
                  <c:v>2.4540899999999999</c:v>
                </c:pt>
                <c:pt idx="1">
                  <c:v>-2.4540899999999999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5DA-44F4-AF9D-79408A9C5541}"/>
            </c:ext>
          </c:extLst>
        </c:ser>
        <c:ser>
          <c:idx val="25"/>
          <c:order val="25"/>
          <c:tx>
            <c:v>B 60 0.38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'CGShiftStudy CURRENT'!$AD$15:$AD$16</c:f>
              <c:numCache>
                <c:formatCode>General</c:formatCode>
                <c:ptCount val="2"/>
              </c:numCache>
            </c:numRef>
          </c:xVal>
          <c:yVal>
            <c:numRef>
              <c:f>'CGShiftStudy CURRENT'!$AE$15:$AE$16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25DA-44F4-AF9D-79408A9C5541}"/>
            </c:ext>
          </c:extLst>
        </c:ser>
        <c:ser>
          <c:idx val="26"/>
          <c:order val="26"/>
          <c:tx>
            <c:v>B 60 0.2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CURRENT'!$AF$15:$AF$16</c:f>
              <c:numCache>
                <c:formatCode>General</c:formatCode>
                <c:ptCount val="2"/>
                <c:pt idx="0">
                  <c:v>-0.75884399999999996</c:v>
                </c:pt>
                <c:pt idx="1">
                  <c:v>-0.75884399999999996</c:v>
                </c:pt>
              </c:numCache>
            </c:numRef>
          </c:xVal>
          <c:yVal>
            <c:numRef>
              <c:f>'CGShiftStudy CURRENT'!$AG$15:$AG$16</c:f>
              <c:numCache>
                <c:formatCode>General</c:formatCode>
                <c:ptCount val="2"/>
                <c:pt idx="0">
                  <c:v>2.21191</c:v>
                </c:pt>
                <c:pt idx="1">
                  <c:v>-2.21191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25DA-44F4-AF9D-79408A9C5541}"/>
            </c:ext>
          </c:extLst>
        </c:ser>
        <c:ser>
          <c:idx val="27"/>
          <c:order val="27"/>
          <c:tx>
            <c:v>B 60 0.0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CURRENT'!$AH$15:$AH$16</c:f>
              <c:numCache>
                <c:formatCode>General</c:formatCode>
                <c:ptCount val="2"/>
                <c:pt idx="0">
                  <c:v>-0.75507100000000005</c:v>
                </c:pt>
                <c:pt idx="1">
                  <c:v>-0.75507100000000005</c:v>
                </c:pt>
              </c:numCache>
            </c:numRef>
          </c:xVal>
          <c:yVal>
            <c:numRef>
              <c:f>'CGShiftStudy CURRENT'!$AI$15:$AI$16</c:f>
              <c:numCache>
                <c:formatCode>General</c:formatCode>
                <c:ptCount val="2"/>
                <c:pt idx="0">
                  <c:v>1.93988</c:v>
                </c:pt>
                <c:pt idx="1">
                  <c:v>-1.93988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25DA-44F4-AF9D-79408A9C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in val="-2.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Real</a:t>
                </a:r>
              </a:p>
            </c:rich>
          </c:tx>
          <c:layout>
            <c:manualLayout>
              <c:xMode val="edge"/>
              <c:yMode val="edge"/>
              <c:x val="0.49272412746360894"/>
              <c:y val="0.9575383255929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0.25"/>
      </c:valAx>
      <c:valAx>
        <c:axId val="1887069584"/>
        <c:scaling>
          <c:orientation val="minMax"/>
          <c:min val="-3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Imaginary</a:t>
                </a: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  <c:majorUnit val="0.5"/>
        <c:minorUnit val="0.5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1235172426363367"/>
          <c:y val="2.6550925925925922E-2"/>
          <c:w val="0.16337801200145574"/>
          <c:h val="0.1828293598716827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282480314960644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Baseline, 0° Bank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diamond"/>
            <c:size val="10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CURRENT'!$Y$28:$Y$33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'CGShiftStudy CURRENT'!$Z$28:$Z$33</c:f>
              <c:numCache>
                <c:formatCode>General</c:formatCode>
                <c:ptCount val="6"/>
                <c:pt idx="0">
                  <c:v>2.4172799999999999</c:v>
                </c:pt>
                <c:pt idx="1">
                  <c:v>2.4156200000000001</c:v>
                </c:pt>
                <c:pt idx="2">
                  <c:v>2.4140199999999998</c:v>
                </c:pt>
                <c:pt idx="3">
                  <c:v>2.4124699999999999</c:v>
                </c:pt>
                <c:pt idx="4" formatCode="0.0000">
                  <c:v>2.4109699999999998</c:v>
                </c:pt>
                <c:pt idx="5" formatCode="0.00">
                  <c:v>2.40951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3-4622-AB63-6EA3F0EB3130}"/>
            </c:ext>
          </c:extLst>
        </c:ser>
        <c:ser>
          <c:idx val="1"/>
          <c:order val="1"/>
          <c:tx>
            <c:v>Baseline, 60° Bank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CURRENT'!$Y$28:$Y$33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'CGShiftStudy CURRENT'!$AA$28:$AA$33</c:f>
              <c:numCache>
                <c:formatCode>General</c:formatCode>
                <c:ptCount val="6"/>
                <c:pt idx="0">
                  <c:v>2.4344700000000001</c:v>
                </c:pt>
                <c:pt idx="1">
                  <c:v>2.43485</c:v>
                </c:pt>
                <c:pt idx="2">
                  <c:v>2.43208</c:v>
                </c:pt>
                <c:pt idx="3">
                  <c:v>2.4291</c:v>
                </c:pt>
                <c:pt idx="4">
                  <c:v>2.4260899999999999</c:v>
                </c:pt>
                <c:pt idx="5">
                  <c:v>2.4230800000000001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73-4622-AB63-6EA3F0EB3130}"/>
            </c:ext>
          </c:extLst>
        </c:ser>
        <c:ser>
          <c:idx val="2"/>
          <c:order val="2"/>
          <c:tx>
            <c:v>BIRE, 0° Bank</c:v>
          </c:tx>
          <c:spPr>
            <a:ln w="2222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CURRENT'!$Y$28:$Y$33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'CGShiftStudy CURRENT'!$AB$28:$AB$33</c:f>
              <c:numCache>
                <c:formatCode>General</c:formatCode>
                <c:ptCount val="6"/>
                <c:pt idx="0">
                  <c:v>2.4560900000000001</c:v>
                </c:pt>
                <c:pt idx="1">
                  <c:v>2.45506</c:v>
                </c:pt>
                <c:pt idx="2">
                  <c:v>2.4540500000000001</c:v>
                </c:pt>
                <c:pt idx="3">
                  <c:v>2.4530500000000002</c:v>
                </c:pt>
                <c:pt idx="4">
                  <c:v>2.45207</c:v>
                </c:pt>
                <c:pt idx="5">
                  <c:v>2.4510999999999998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73-4622-AB63-6EA3F0EB3130}"/>
            </c:ext>
          </c:extLst>
        </c:ser>
        <c:ser>
          <c:idx val="3"/>
          <c:order val="3"/>
          <c:tx>
            <c:v>BIRE, 60° Bank</c:v>
          </c:tx>
          <c:spPr>
            <a:ln w="2222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CURRENT'!$Y$28:$Y$33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'CGShiftStudy CURRENT'!$AC$28:$AC$33</c:f>
              <c:numCache>
                <c:formatCode>General</c:formatCode>
                <c:ptCount val="6"/>
                <c:pt idx="0">
                  <c:v>2.4704299999999999</c:v>
                </c:pt>
                <c:pt idx="1">
                  <c:v>2.4674200000000002</c:v>
                </c:pt>
                <c:pt idx="2">
                  <c:v>2.46441</c:v>
                </c:pt>
                <c:pt idx="3">
                  <c:v>2.4613800000000001</c:v>
                </c:pt>
                <c:pt idx="4">
                  <c:v>2.4583300000000001</c:v>
                </c:pt>
                <c:pt idx="5">
                  <c:v>2.4552700000000001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73-4622-AB63-6EA3F0EB3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Forward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CG Shift [ft.]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272408136482938"/>
              <c:y val="0.95578703703703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0.2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Damping Rate [</a:t>
                </a:r>
                <a:r>
                  <a:rPr lang="en-US" sz="1400" i="0">
                    <a:solidFill>
                      <a:sysClr val="windowText" lastClr="000000"/>
                    </a:solidFill>
                  </a:rPr>
                  <a:t>1/s]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  <c:majorUnit val="1.0000000000000002E-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15866141732284"/>
          <c:y val="3.1517935258092745E-2"/>
          <c:w val="0.18534897200349956"/>
          <c:h val="0.1452974628171478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282480314960644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Baseline, 0° Bank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CURRENT'!$Y$37:$Y$42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'CGShiftStudy CURRENT'!$Z$37:$Z$42</c:f>
              <c:numCache>
                <c:formatCode>General</c:formatCode>
                <c:ptCount val="6"/>
                <c:pt idx="0">
                  <c:v>-6.1957699999999997E-3</c:v>
                </c:pt>
                <c:pt idx="1">
                  <c:v>-6.4442299999999996E-3</c:v>
                </c:pt>
                <c:pt idx="2">
                  <c:v>-6.6888599999999996E-3</c:v>
                </c:pt>
                <c:pt idx="3">
                  <c:v>-6.9305800000000004E-3</c:v>
                </c:pt>
                <c:pt idx="4" formatCode="0.0000">
                  <c:v>-7.1689800000000001E-3</c:v>
                </c:pt>
                <c:pt idx="5" formatCode="0.00">
                  <c:v>-7.4044899999999997E-3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6-4C1A-8D8A-B7A2758F1E67}"/>
            </c:ext>
          </c:extLst>
        </c:ser>
        <c:ser>
          <c:idx val="1"/>
          <c:order val="1"/>
          <c:tx>
            <c:v>Baseline, 60° Bank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CURRENT'!$Y$28:$Y$33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'CGShiftStudy CURRENT'!$AA$37:$AA$42</c:f>
              <c:numCache>
                <c:formatCode>General</c:formatCode>
                <c:ptCount val="6"/>
                <c:pt idx="0">
                  <c:v>-2.1562399999999998E-3</c:v>
                </c:pt>
                <c:pt idx="1">
                  <c:v>-4.8877299999999999E-3</c:v>
                </c:pt>
                <c:pt idx="2">
                  <c:v>5.5280099999999999E-3</c:v>
                </c:pt>
                <c:pt idx="3">
                  <c:v>6.6978899999999995E-4</c:v>
                </c:pt>
                <c:pt idx="4">
                  <c:v>-2.0390299999999999E-4</c:v>
                </c:pt>
                <c:pt idx="5">
                  <c:v>-6.1338799999999998E-4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C6-4C1A-8D8A-B7A2758F1E67}"/>
            </c:ext>
          </c:extLst>
        </c:ser>
        <c:ser>
          <c:idx val="2"/>
          <c:order val="2"/>
          <c:tx>
            <c:v>BIRE, 0° Bank</c:v>
          </c:tx>
          <c:spPr>
            <a:ln w="2222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CURRENT'!$Y$37:$Y$42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'CGShiftStudy CURRENT'!$AB$37:$AB$42</c:f>
              <c:numCache>
                <c:formatCode>General</c:formatCode>
                <c:ptCount val="6"/>
                <c:pt idx="0">
                  <c:v>-1.1230199999999999E-2</c:v>
                </c:pt>
                <c:pt idx="1">
                  <c:v>-1.14568E-2</c:v>
                </c:pt>
                <c:pt idx="2">
                  <c:v>-1.1687599999999999E-2</c:v>
                </c:pt>
                <c:pt idx="3">
                  <c:v>-1.1923100000000001E-2</c:v>
                </c:pt>
                <c:pt idx="4">
                  <c:v>-1.21642E-2</c:v>
                </c:pt>
                <c:pt idx="5">
                  <c:v>-1.2411800000000001E-2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C6-4C1A-8D8A-B7A2758F1E67}"/>
            </c:ext>
          </c:extLst>
        </c:ser>
        <c:ser>
          <c:idx val="3"/>
          <c:order val="3"/>
          <c:tx>
            <c:v>BIRE, 60° Bank</c:v>
          </c:tx>
          <c:spPr>
            <a:ln w="2222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'CGShiftStudy CURRENT'!$Y$37:$Y$42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'CGShiftStudy CURRENT'!$AC$37:$AC$42</c:f>
              <c:numCache>
                <c:formatCode>General</c:formatCode>
                <c:ptCount val="6"/>
                <c:pt idx="0">
                  <c:v>1.15493E-3</c:v>
                </c:pt>
                <c:pt idx="1">
                  <c:v>1.2260299999999999E-3</c:v>
                </c:pt>
                <c:pt idx="2">
                  <c:v>1.30495E-3</c:v>
                </c:pt>
                <c:pt idx="3">
                  <c:v>1.42E-3</c:v>
                </c:pt>
                <c:pt idx="4">
                  <c:v>1.58227E-3</c:v>
                </c:pt>
                <c:pt idx="5">
                  <c:v>1.7989900000000001E-3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C6-4C1A-8D8A-B7A2758F1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Forward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CG Shift [ft.]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272408136482938"/>
              <c:y val="0.95578703703703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0.2"/>
      </c:valAx>
      <c:valAx>
        <c:axId val="1887069584"/>
        <c:scaling>
          <c:orientation val="minMax"/>
          <c:max val="6.0000000000000019E-3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Damping Rate [</a:t>
                </a:r>
                <a:r>
                  <a:rPr lang="en-US" sz="1400" i="0">
                    <a:solidFill>
                      <a:sysClr val="windowText" lastClr="000000"/>
                    </a:solidFill>
                  </a:rPr>
                  <a:t>1/s]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7140200650665122E-3"/>
              <c:y val="0.3996870267215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  <c:majorUnit val="2.0000000000000005E-3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01977252843394"/>
          <c:y val="3.1517935258092745E-2"/>
          <c:w val="0.18673786089238845"/>
          <c:h val="0.14761227763196266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282480314960644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StaticStability!$A$3:$A$75</c:f>
              <c:numCache>
                <c:formatCode>General</c:formatCode>
                <c:ptCount val="7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-35</c:v>
                </c:pt>
                <c:pt idx="30">
                  <c:v>-30</c:v>
                </c:pt>
                <c:pt idx="31">
                  <c:v>-25</c:v>
                </c:pt>
                <c:pt idx="32">
                  <c:v>-20</c:v>
                </c:pt>
                <c:pt idx="33">
                  <c:v>-15</c:v>
                </c:pt>
                <c:pt idx="34">
                  <c:v>-10</c:v>
                </c:pt>
                <c:pt idx="35">
                  <c:v>-5</c:v>
                </c:pt>
                <c:pt idx="36">
                  <c:v>0</c:v>
                </c:pt>
                <c:pt idx="37">
                  <c:v>5</c:v>
                </c:pt>
                <c:pt idx="38">
                  <c:v>10</c:v>
                </c:pt>
                <c:pt idx="39">
                  <c:v>15</c:v>
                </c:pt>
                <c:pt idx="40">
                  <c:v>20</c:v>
                </c:pt>
                <c:pt idx="41">
                  <c:v>25</c:v>
                </c:pt>
                <c:pt idx="42">
                  <c:v>30</c:v>
                </c:pt>
                <c:pt idx="43">
                  <c:v>35</c:v>
                </c:pt>
                <c:pt idx="44">
                  <c:v>40</c:v>
                </c:pt>
                <c:pt idx="45">
                  <c:v>45</c:v>
                </c:pt>
                <c:pt idx="46">
                  <c:v>50</c:v>
                </c:pt>
                <c:pt idx="47">
                  <c:v>55</c:v>
                </c:pt>
                <c:pt idx="48">
                  <c:v>60</c:v>
                </c:pt>
                <c:pt idx="49">
                  <c:v>65</c:v>
                </c:pt>
                <c:pt idx="50">
                  <c:v>70</c:v>
                </c:pt>
                <c:pt idx="51">
                  <c:v>75</c:v>
                </c:pt>
                <c:pt idx="52">
                  <c:v>80</c:v>
                </c:pt>
                <c:pt idx="53">
                  <c:v>85</c:v>
                </c:pt>
                <c:pt idx="54">
                  <c:v>90</c:v>
                </c:pt>
                <c:pt idx="55">
                  <c:v>95</c:v>
                </c:pt>
                <c:pt idx="56">
                  <c:v>100</c:v>
                </c:pt>
                <c:pt idx="57">
                  <c:v>105</c:v>
                </c:pt>
                <c:pt idx="58">
                  <c:v>110</c:v>
                </c:pt>
                <c:pt idx="59">
                  <c:v>115</c:v>
                </c:pt>
                <c:pt idx="60">
                  <c:v>120</c:v>
                </c:pt>
                <c:pt idx="61">
                  <c:v>125</c:v>
                </c:pt>
                <c:pt idx="62">
                  <c:v>130</c:v>
                </c:pt>
                <c:pt idx="63">
                  <c:v>135</c:v>
                </c:pt>
                <c:pt idx="64">
                  <c:v>140</c:v>
                </c:pt>
                <c:pt idx="65">
                  <c:v>145</c:v>
                </c:pt>
                <c:pt idx="66">
                  <c:v>150</c:v>
                </c:pt>
                <c:pt idx="67">
                  <c:v>155</c:v>
                </c:pt>
                <c:pt idx="68">
                  <c:v>160</c:v>
                </c:pt>
                <c:pt idx="69">
                  <c:v>165</c:v>
                </c:pt>
                <c:pt idx="70">
                  <c:v>170</c:v>
                </c:pt>
                <c:pt idx="71">
                  <c:v>175</c:v>
                </c:pt>
                <c:pt idx="72">
                  <c:v>180</c:v>
                </c:pt>
              </c:numCache>
            </c:numRef>
          </c:xVal>
          <c:yVal>
            <c:numRef>
              <c:f>StaticStability!$B$3:$B$75</c:f>
              <c:numCache>
                <c:formatCode>General</c:formatCode>
                <c:ptCount val="73"/>
                <c:pt idx="0">
                  <c:v>0.13750000000000001</c:v>
                </c:pt>
                <c:pt idx="1">
                  <c:v>0.13750000000000001</c:v>
                </c:pt>
                <c:pt idx="2">
                  <c:v>0.13750000000000001</c:v>
                </c:pt>
                <c:pt idx="3">
                  <c:v>0.13750000000000001</c:v>
                </c:pt>
                <c:pt idx="4">
                  <c:v>0.13750000000000001</c:v>
                </c:pt>
                <c:pt idx="5">
                  <c:v>0.13750000000000001</c:v>
                </c:pt>
                <c:pt idx="6">
                  <c:v>0.13750000000000001</c:v>
                </c:pt>
                <c:pt idx="7">
                  <c:v>0.13750000000000001</c:v>
                </c:pt>
                <c:pt idx="8">
                  <c:v>0.13750000000000001</c:v>
                </c:pt>
                <c:pt idx="9">
                  <c:v>0.13750000000000001</c:v>
                </c:pt>
                <c:pt idx="10">
                  <c:v>0.13750000000000001</c:v>
                </c:pt>
                <c:pt idx="11">
                  <c:v>0.13750000000000001</c:v>
                </c:pt>
                <c:pt idx="12">
                  <c:v>0.13750000000000001</c:v>
                </c:pt>
                <c:pt idx="13">
                  <c:v>0.13750000000000001</c:v>
                </c:pt>
                <c:pt idx="14">
                  <c:v>0.13750000000000001</c:v>
                </c:pt>
                <c:pt idx="15">
                  <c:v>0.13750000000000001</c:v>
                </c:pt>
                <c:pt idx="16">
                  <c:v>0.13750000000000001</c:v>
                </c:pt>
                <c:pt idx="17">
                  <c:v>0.13750000000000001</c:v>
                </c:pt>
                <c:pt idx="18">
                  <c:v>0.13750000000000001</c:v>
                </c:pt>
                <c:pt idx="19">
                  <c:v>0.13750000000000001</c:v>
                </c:pt>
                <c:pt idx="20">
                  <c:v>0.13750000000000001</c:v>
                </c:pt>
                <c:pt idx="21">
                  <c:v>0.13750000000000001</c:v>
                </c:pt>
                <c:pt idx="22">
                  <c:v>0.13750000000000001</c:v>
                </c:pt>
                <c:pt idx="23">
                  <c:v>0.13750000000000001</c:v>
                </c:pt>
                <c:pt idx="24">
                  <c:v>0.13750000000000001</c:v>
                </c:pt>
                <c:pt idx="25">
                  <c:v>0.13750000000000001</c:v>
                </c:pt>
                <c:pt idx="26">
                  <c:v>0.13750000000000001</c:v>
                </c:pt>
                <c:pt idx="27">
                  <c:v>0.13750000000000001</c:v>
                </c:pt>
                <c:pt idx="28">
                  <c:v>0.13750000000000001</c:v>
                </c:pt>
                <c:pt idx="29">
                  <c:v>0.13750000000000001</c:v>
                </c:pt>
                <c:pt idx="30">
                  <c:v>0.13750000000000001</c:v>
                </c:pt>
                <c:pt idx="31">
                  <c:v>0.13750000000000001</c:v>
                </c:pt>
                <c:pt idx="32">
                  <c:v>0.13750000000000001</c:v>
                </c:pt>
                <c:pt idx="33">
                  <c:v>0.13750000000000001</c:v>
                </c:pt>
                <c:pt idx="34">
                  <c:v>0.13750000000000001</c:v>
                </c:pt>
                <c:pt idx="35">
                  <c:v>0.13750000000000001</c:v>
                </c:pt>
                <c:pt idx="36">
                  <c:v>0.13750000000000001</c:v>
                </c:pt>
                <c:pt idx="37">
                  <c:v>0.13750000000000001</c:v>
                </c:pt>
                <c:pt idx="38">
                  <c:v>0.13750000000000001</c:v>
                </c:pt>
                <c:pt idx="39">
                  <c:v>0.13750000000000001</c:v>
                </c:pt>
                <c:pt idx="40">
                  <c:v>0.13750000000000001</c:v>
                </c:pt>
                <c:pt idx="41">
                  <c:v>0.13750000000000001</c:v>
                </c:pt>
                <c:pt idx="42">
                  <c:v>0.13750000000000001</c:v>
                </c:pt>
                <c:pt idx="43">
                  <c:v>0.13750000000000001</c:v>
                </c:pt>
                <c:pt idx="44">
                  <c:v>0.13750000000000001</c:v>
                </c:pt>
                <c:pt idx="45">
                  <c:v>0.13750000000000001</c:v>
                </c:pt>
                <c:pt idx="46">
                  <c:v>0.13750000000000001</c:v>
                </c:pt>
                <c:pt idx="47">
                  <c:v>0.13750000000000001</c:v>
                </c:pt>
                <c:pt idx="48">
                  <c:v>0.13750000000000001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0.13750000000000001</c:v>
                </c:pt>
                <c:pt idx="52">
                  <c:v>0.13750000000000001</c:v>
                </c:pt>
                <c:pt idx="53">
                  <c:v>0.13750000000000001</c:v>
                </c:pt>
                <c:pt idx="54">
                  <c:v>0.13750000000000001</c:v>
                </c:pt>
                <c:pt idx="55">
                  <c:v>0.13750000000000001</c:v>
                </c:pt>
                <c:pt idx="56">
                  <c:v>0.13750000000000001</c:v>
                </c:pt>
                <c:pt idx="57">
                  <c:v>0.13750000000000001</c:v>
                </c:pt>
                <c:pt idx="58">
                  <c:v>0.13750000000000001</c:v>
                </c:pt>
                <c:pt idx="59">
                  <c:v>0.13750000000000001</c:v>
                </c:pt>
                <c:pt idx="60">
                  <c:v>0.13750000000000001</c:v>
                </c:pt>
                <c:pt idx="61">
                  <c:v>0.13750000000000001</c:v>
                </c:pt>
                <c:pt idx="62">
                  <c:v>0.13750000000000001</c:v>
                </c:pt>
                <c:pt idx="63">
                  <c:v>0.13750000000000001</c:v>
                </c:pt>
                <c:pt idx="64">
                  <c:v>0.13750000000000001</c:v>
                </c:pt>
                <c:pt idx="65">
                  <c:v>0.13750000000000001</c:v>
                </c:pt>
                <c:pt idx="66">
                  <c:v>0.13750000000000001</c:v>
                </c:pt>
                <c:pt idx="67">
                  <c:v>0.13750000000000001</c:v>
                </c:pt>
                <c:pt idx="68">
                  <c:v>0.13750000000000001</c:v>
                </c:pt>
                <c:pt idx="69">
                  <c:v>0.13750000000000001</c:v>
                </c:pt>
                <c:pt idx="70">
                  <c:v>0.13750000000000001</c:v>
                </c:pt>
                <c:pt idx="71">
                  <c:v>0.13750000000000001</c:v>
                </c:pt>
                <c:pt idx="72">
                  <c:v>0.13750000000000001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A1-4E09-8092-95B3D6B55B6F}"/>
            </c:ext>
          </c:extLst>
        </c:ser>
        <c:ser>
          <c:idx val="2"/>
          <c:order val="1"/>
          <c:tx>
            <c:v>BIRE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StaticStability!$A$3:$A$75</c:f>
              <c:numCache>
                <c:formatCode>General</c:formatCode>
                <c:ptCount val="7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-35</c:v>
                </c:pt>
                <c:pt idx="30">
                  <c:v>-30</c:v>
                </c:pt>
                <c:pt idx="31">
                  <c:v>-25</c:v>
                </c:pt>
                <c:pt idx="32">
                  <c:v>-20</c:v>
                </c:pt>
                <c:pt idx="33">
                  <c:v>-15</c:v>
                </c:pt>
                <c:pt idx="34">
                  <c:v>-10</c:v>
                </c:pt>
                <c:pt idx="35">
                  <c:v>-5</c:v>
                </c:pt>
                <c:pt idx="36">
                  <c:v>0</c:v>
                </c:pt>
                <c:pt idx="37">
                  <c:v>5</c:v>
                </c:pt>
                <c:pt idx="38">
                  <c:v>10</c:v>
                </c:pt>
                <c:pt idx="39">
                  <c:v>15</c:v>
                </c:pt>
                <c:pt idx="40">
                  <c:v>20</c:v>
                </c:pt>
                <c:pt idx="41">
                  <c:v>25</c:v>
                </c:pt>
                <c:pt idx="42">
                  <c:v>30</c:v>
                </c:pt>
                <c:pt idx="43">
                  <c:v>35</c:v>
                </c:pt>
                <c:pt idx="44">
                  <c:v>40</c:v>
                </c:pt>
                <c:pt idx="45">
                  <c:v>45</c:v>
                </c:pt>
                <c:pt idx="46">
                  <c:v>50</c:v>
                </c:pt>
                <c:pt idx="47">
                  <c:v>55</c:v>
                </c:pt>
                <c:pt idx="48">
                  <c:v>60</c:v>
                </c:pt>
                <c:pt idx="49">
                  <c:v>65</c:v>
                </c:pt>
                <c:pt idx="50">
                  <c:v>70</c:v>
                </c:pt>
                <c:pt idx="51">
                  <c:v>75</c:v>
                </c:pt>
                <c:pt idx="52">
                  <c:v>80</c:v>
                </c:pt>
                <c:pt idx="53">
                  <c:v>85</c:v>
                </c:pt>
                <c:pt idx="54">
                  <c:v>90</c:v>
                </c:pt>
                <c:pt idx="55">
                  <c:v>95</c:v>
                </c:pt>
                <c:pt idx="56">
                  <c:v>100</c:v>
                </c:pt>
                <c:pt idx="57">
                  <c:v>105</c:v>
                </c:pt>
                <c:pt idx="58">
                  <c:v>110</c:v>
                </c:pt>
                <c:pt idx="59">
                  <c:v>115</c:v>
                </c:pt>
                <c:pt idx="60">
                  <c:v>120</c:v>
                </c:pt>
                <c:pt idx="61">
                  <c:v>125</c:v>
                </c:pt>
                <c:pt idx="62">
                  <c:v>130</c:v>
                </c:pt>
                <c:pt idx="63">
                  <c:v>135</c:v>
                </c:pt>
                <c:pt idx="64">
                  <c:v>140</c:v>
                </c:pt>
                <c:pt idx="65">
                  <c:v>145</c:v>
                </c:pt>
                <c:pt idx="66">
                  <c:v>150</c:v>
                </c:pt>
                <c:pt idx="67">
                  <c:v>155</c:v>
                </c:pt>
                <c:pt idx="68">
                  <c:v>160</c:v>
                </c:pt>
                <c:pt idx="69">
                  <c:v>165</c:v>
                </c:pt>
                <c:pt idx="70">
                  <c:v>170</c:v>
                </c:pt>
                <c:pt idx="71">
                  <c:v>175</c:v>
                </c:pt>
                <c:pt idx="72">
                  <c:v>180</c:v>
                </c:pt>
              </c:numCache>
            </c:numRef>
          </c:xVal>
          <c:yVal>
            <c:numRef>
              <c:f>StaticStability!$C$3:$C$75</c:f>
              <c:numCache>
                <c:formatCode>General</c:formatCode>
                <c:ptCount val="73"/>
                <c:pt idx="0">
                  <c:v>-0.22330872021670231</c:v>
                </c:pt>
                <c:pt idx="1">
                  <c:v>-0.2214210438140703</c:v>
                </c:pt>
                <c:pt idx="2">
                  <c:v>-0.21581537069845763</c:v>
                </c:pt>
                <c:pt idx="3">
                  <c:v>-0.20666202641087458</c:v>
                </c:pt>
                <c:pt idx="4">
                  <c:v>-0.19423913068568388</c:v>
                </c:pt>
                <c:pt idx="5">
                  <c:v>-0.17892414692320685</c:v>
                </c:pt>
                <c:pt idx="6">
                  <c:v>-0.16118241315531054</c:v>
                </c:pt>
                <c:pt idx="7">
                  <c:v>-0.14155300298478207</c:v>
                </c:pt>
                <c:pt idx="8">
                  <c:v>-0.12063234610669199</c:v>
                </c:pt>
                <c:pt idx="9">
                  <c:v>-9.9056106093918128E-2</c:v>
                </c:pt>
                <c:pt idx="10">
                  <c:v>-7.7479866081144225E-2</c:v>
                </c:pt>
                <c:pt idx="11">
                  <c:v>-5.6559209203054184E-2</c:v>
                </c:pt>
                <c:pt idx="12">
                  <c:v>-3.6929799032525482E-2</c:v>
                </c:pt>
                <c:pt idx="13">
                  <c:v>-1.9188065264629017E-2</c:v>
                </c:pt>
                <c:pt idx="14">
                  <c:v>-3.8730815021517373E-3</c:v>
                </c:pt>
                <c:pt idx="15">
                  <c:v>8.5498142230391871E-3</c:v>
                </c:pt>
                <c:pt idx="16">
                  <c:v>1.7703158510622402E-2</c:v>
                </c:pt>
                <c:pt idx="17">
                  <c:v>2.3308831626235399E-2</c:v>
                </c:pt>
                <c:pt idx="18">
                  <c:v>2.5196508028867692E-2</c:v>
                </c:pt>
                <c:pt idx="19">
                  <c:v>2.3308831626235677E-2</c:v>
                </c:pt>
                <c:pt idx="20">
                  <c:v>1.7703158510622985E-2</c:v>
                </c:pt>
                <c:pt idx="21">
                  <c:v>8.5498142230400476E-3</c:v>
                </c:pt>
                <c:pt idx="22">
                  <c:v>-3.8730815021506826E-3</c:v>
                </c:pt>
                <c:pt idx="23">
                  <c:v>-1.9188065264627754E-2</c:v>
                </c:pt>
                <c:pt idx="24">
                  <c:v>-3.6929799032524108E-2</c:v>
                </c:pt>
                <c:pt idx="25">
                  <c:v>-5.6559209203052588E-2</c:v>
                </c:pt>
                <c:pt idx="26">
                  <c:v>-7.7479866081142573E-2</c:v>
                </c:pt>
                <c:pt idx="27">
                  <c:v>-9.9056106093916477E-2</c:v>
                </c:pt>
                <c:pt idx="28">
                  <c:v>-0.12063234610669041</c:v>
                </c:pt>
                <c:pt idx="29">
                  <c:v>-0.14155300298478046</c:v>
                </c:pt>
                <c:pt idx="30">
                  <c:v>-0.1611824131553091</c:v>
                </c:pt>
                <c:pt idx="31">
                  <c:v>-0.17892414692320557</c:v>
                </c:pt>
                <c:pt idx="32">
                  <c:v>-0.19423913068568288</c:v>
                </c:pt>
                <c:pt idx="33">
                  <c:v>-0.20666202641087383</c:v>
                </c:pt>
                <c:pt idx="34">
                  <c:v>-0.21581537069845702</c:v>
                </c:pt>
                <c:pt idx="35">
                  <c:v>-0.22142104381407002</c:v>
                </c:pt>
                <c:pt idx="36">
                  <c:v>-0.22330872021670231</c:v>
                </c:pt>
                <c:pt idx="37">
                  <c:v>-0.2214210438140703</c:v>
                </c:pt>
                <c:pt idx="38">
                  <c:v>-0.2158153706984576</c:v>
                </c:pt>
                <c:pt idx="39">
                  <c:v>-0.20666202641087467</c:v>
                </c:pt>
                <c:pt idx="40">
                  <c:v>-0.19423913068568394</c:v>
                </c:pt>
                <c:pt idx="41">
                  <c:v>-0.17892414692320688</c:v>
                </c:pt>
                <c:pt idx="42">
                  <c:v>-0.16118241315531051</c:v>
                </c:pt>
                <c:pt idx="43">
                  <c:v>-0.14155300298478204</c:v>
                </c:pt>
                <c:pt idx="44">
                  <c:v>-0.12063234610669207</c:v>
                </c:pt>
                <c:pt idx="45">
                  <c:v>-9.9056106093918156E-2</c:v>
                </c:pt>
                <c:pt idx="46">
                  <c:v>-7.7479866081144211E-2</c:v>
                </c:pt>
                <c:pt idx="47">
                  <c:v>-5.6559209203054156E-2</c:v>
                </c:pt>
                <c:pt idx="48">
                  <c:v>-3.6929799032525551E-2</c:v>
                </c:pt>
                <c:pt idx="49">
                  <c:v>-1.9188065264629045E-2</c:v>
                </c:pt>
                <c:pt idx="50">
                  <c:v>-3.8730815021517373E-3</c:v>
                </c:pt>
                <c:pt idx="51">
                  <c:v>8.5498142230392149E-3</c:v>
                </c:pt>
                <c:pt idx="52">
                  <c:v>1.7703158510622402E-2</c:v>
                </c:pt>
                <c:pt idx="53">
                  <c:v>2.3308831626235399E-2</c:v>
                </c:pt>
                <c:pt idx="54">
                  <c:v>2.5196508028867692E-2</c:v>
                </c:pt>
                <c:pt idx="55">
                  <c:v>2.3308831626235677E-2</c:v>
                </c:pt>
                <c:pt idx="56">
                  <c:v>1.7703158510623013E-2</c:v>
                </c:pt>
                <c:pt idx="57">
                  <c:v>8.5498142230399921E-3</c:v>
                </c:pt>
                <c:pt idx="58">
                  <c:v>-3.8730815021506826E-3</c:v>
                </c:pt>
                <c:pt idx="59">
                  <c:v>-1.9188065264627768E-2</c:v>
                </c:pt>
                <c:pt idx="60">
                  <c:v>-3.692979903252408E-2</c:v>
                </c:pt>
                <c:pt idx="61">
                  <c:v>-5.655920920305256E-2</c:v>
                </c:pt>
                <c:pt idx="62">
                  <c:v>-7.7479866081142532E-2</c:v>
                </c:pt>
                <c:pt idx="63">
                  <c:v>-9.9056106093916393E-2</c:v>
                </c:pt>
                <c:pt idx="64">
                  <c:v>-0.1206323461066903</c:v>
                </c:pt>
                <c:pt idx="65">
                  <c:v>-0.14155300298478055</c:v>
                </c:pt>
                <c:pt idx="66">
                  <c:v>-0.16118241315530915</c:v>
                </c:pt>
                <c:pt idx="67">
                  <c:v>-0.17892414692320563</c:v>
                </c:pt>
                <c:pt idx="68">
                  <c:v>-0.19423913068568288</c:v>
                </c:pt>
                <c:pt idx="69">
                  <c:v>-0.20666202641087383</c:v>
                </c:pt>
                <c:pt idx="70">
                  <c:v>-0.21581537069845702</c:v>
                </c:pt>
                <c:pt idx="71">
                  <c:v>-0.22142104381407002</c:v>
                </c:pt>
                <c:pt idx="72">
                  <c:v>-0.22330872021670231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A1-4E09-8092-95B3D6B55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BIRE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Rotation Angle, </a:t>
                </a:r>
                <a:r>
                  <a:rPr lang="el-GR" sz="1400" i="1" baseline="0">
                    <a:solidFill>
                      <a:sysClr val="windowText" lastClr="000000"/>
                    </a:solidFill>
                  </a:rPr>
                  <a:t>δ</a:t>
                </a:r>
                <a:r>
                  <a:rPr lang="en-US" sz="1400" i="1" baseline="-25000">
                    <a:solidFill>
                      <a:sysClr val="windowText" lastClr="000000"/>
                    </a:solidFill>
                  </a:rPr>
                  <a:t>B</a:t>
                </a:r>
                <a:r>
                  <a:rPr lang="en-US" sz="1400" i="1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400" i="0" baseline="0">
                    <a:solidFill>
                      <a:sysClr val="windowText" lastClr="000000"/>
                    </a:solidFill>
                  </a:rPr>
                  <a:t>[deg.]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1007102683593116"/>
              <c:y val="0.95578703703703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30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i="0">
                    <a:solidFill>
                      <a:sysClr val="windowText" lastClr="000000"/>
                    </a:solidFill>
                  </a:rPr>
                  <a:t>Pitch</a:t>
                </a:r>
                <a:r>
                  <a:rPr lang="en-US" sz="1400" i="0" baseline="0">
                    <a:solidFill>
                      <a:sysClr val="windowText" lastClr="000000"/>
                    </a:solidFill>
                  </a:rPr>
                  <a:t> Stability Derivative, </a:t>
                </a:r>
                <a:r>
                  <a:rPr lang="en-US" sz="1400" i="1">
                    <a:solidFill>
                      <a:sysClr val="windowText" lastClr="000000"/>
                    </a:solidFill>
                  </a:rPr>
                  <a:t>C</a:t>
                </a:r>
                <a:r>
                  <a:rPr lang="en-US" sz="1400" i="1" baseline="-25000">
                    <a:solidFill>
                      <a:sysClr val="windowText" lastClr="000000"/>
                    </a:solidFill>
                  </a:rPr>
                  <a:t>m,</a:t>
                </a:r>
                <a:r>
                  <a:rPr lang="el-GR" sz="1400" i="1" baseline="-25000">
                    <a:solidFill>
                      <a:sysClr val="windowText" lastClr="000000"/>
                    </a:solidFill>
                  </a:rPr>
                  <a:t>α</a:t>
                </a:r>
                <a:endParaRPr lang="en-US" sz="1400" i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6.4351598907279447E-3"/>
              <c:y val="0.20987222951297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4056617922759647"/>
          <c:y val="3.1517935258092745E-2"/>
          <c:w val="0.13636938239862872"/>
          <c:h val="7.3538203557888593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282480314960644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StaticStability!$A$3:$A$75</c:f>
              <c:numCache>
                <c:formatCode>General</c:formatCode>
                <c:ptCount val="7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-35</c:v>
                </c:pt>
                <c:pt idx="30">
                  <c:v>-30</c:v>
                </c:pt>
                <c:pt idx="31">
                  <c:v>-25</c:v>
                </c:pt>
                <c:pt idx="32">
                  <c:v>-20</c:v>
                </c:pt>
                <c:pt idx="33">
                  <c:v>-15</c:v>
                </c:pt>
                <c:pt idx="34">
                  <c:v>-10</c:v>
                </c:pt>
                <c:pt idx="35">
                  <c:v>-5</c:v>
                </c:pt>
                <c:pt idx="36">
                  <c:v>0</c:v>
                </c:pt>
                <c:pt idx="37">
                  <c:v>5</c:v>
                </c:pt>
                <c:pt idx="38">
                  <c:v>10</c:v>
                </c:pt>
                <c:pt idx="39">
                  <c:v>15</c:v>
                </c:pt>
                <c:pt idx="40">
                  <c:v>20</c:v>
                </c:pt>
                <c:pt idx="41">
                  <c:v>25</c:v>
                </c:pt>
                <c:pt idx="42">
                  <c:v>30</c:v>
                </c:pt>
                <c:pt idx="43">
                  <c:v>35</c:v>
                </c:pt>
                <c:pt idx="44">
                  <c:v>40</c:v>
                </c:pt>
                <c:pt idx="45">
                  <c:v>45</c:v>
                </c:pt>
                <c:pt idx="46">
                  <c:v>50</c:v>
                </c:pt>
                <c:pt idx="47">
                  <c:v>55</c:v>
                </c:pt>
                <c:pt idx="48">
                  <c:v>60</c:v>
                </c:pt>
                <c:pt idx="49">
                  <c:v>65</c:v>
                </c:pt>
                <c:pt idx="50">
                  <c:v>70</c:v>
                </c:pt>
                <c:pt idx="51">
                  <c:v>75</c:v>
                </c:pt>
                <c:pt idx="52">
                  <c:v>80</c:v>
                </c:pt>
                <c:pt idx="53">
                  <c:v>85</c:v>
                </c:pt>
                <c:pt idx="54">
                  <c:v>90</c:v>
                </c:pt>
                <c:pt idx="55">
                  <c:v>95</c:v>
                </c:pt>
                <c:pt idx="56">
                  <c:v>100</c:v>
                </c:pt>
                <c:pt idx="57">
                  <c:v>105</c:v>
                </c:pt>
                <c:pt idx="58">
                  <c:v>110</c:v>
                </c:pt>
                <c:pt idx="59">
                  <c:v>115</c:v>
                </c:pt>
                <c:pt idx="60">
                  <c:v>120</c:v>
                </c:pt>
                <c:pt idx="61">
                  <c:v>125</c:v>
                </c:pt>
                <c:pt idx="62">
                  <c:v>130</c:v>
                </c:pt>
                <c:pt idx="63">
                  <c:v>135</c:v>
                </c:pt>
                <c:pt idx="64">
                  <c:v>140</c:v>
                </c:pt>
                <c:pt idx="65">
                  <c:v>145</c:v>
                </c:pt>
                <c:pt idx="66">
                  <c:v>150</c:v>
                </c:pt>
                <c:pt idx="67">
                  <c:v>155</c:v>
                </c:pt>
                <c:pt idx="68">
                  <c:v>160</c:v>
                </c:pt>
                <c:pt idx="69">
                  <c:v>165</c:v>
                </c:pt>
                <c:pt idx="70">
                  <c:v>170</c:v>
                </c:pt>
                <c:pt idx="71">
                  <c:v>175</c:v>
                </c:pt>
                <c:pt idx="72">
                  <c:v>180</c:v>
                </c:pt>
              </c:numCache>
            </c:numRef>
          </c:xVal>
          <c:yVal>
            <c:numRef>
              <c:f>StaticStability!$D$3:$D$75</c:f>
              <c:numCache>
                <c:formatCode>General</c:formatCode>
                <c:ptCount val="73"/>
                <c:pt idx="0">
                  <c:v>-7.8700000000000006E-2</c:v>
                </c:pt>
                <c:pt idx="1">
                  <c:v>-7.8700000000000006E-2</c:v>
                </c:pt>
                <c:pt idx="2">
                  <c:v>-7.8700000000000006E-2</c:v>
                </c:pt>
                <c:pt idx="3">
                  <c:v>-7.8700000000000006E-2</c:v>
                </c:pt>
                <c:pt idx="4">
                  <c:v>-7.8700000000000006E-2</c:v>
                </c:pt>
                <c:pt idx="5">
                  <c:v>-7.8700000000000006E-2</c:v>
                </c:pt>
                <c:pt idx="6">
                  <c:v>-7.8700000000000006E-2</c:v>
                </c:pt>
                <c:pt idx="7">
                  <c:v>-7.8700000000000006E-2</c:v>
                </c:pt>
                <c:pt idx="8">
                  <c:v>-7.8700000000000006E-2</c:v>
                </c:pt>
                <c:pt idx="9">
                  <c:v>-7.8700000000000006E-2</c:v>
                </c:pt>
                <c:pt idx="10">
                  <c:v>-7.8700000000000006E-2</c:v>
                </c:pt>
                <c:pt idx="11">
                  <c:v>-7.8700000000000006E-2</c:v>
                </c:pt>
                <c:pt idx="12">
                  <c:v>-7.8700000000000006E-2</c:v>
                </c:pt>
                <c:pt idx="13">
                  <c:v>-7.8700000000000006E-2</c:v>
                </c:pt>
                <c:pt idx="14">
                  <c:v>-7.8700000000000006E-2</c:v>
                </c:pt>
                <c:pt idx="15">
                  <c:v>-7.8700000000000006E-2</c:v>
                </c:pt>
                <c:pt idx="16">
                  <c:v>-7.8700000000000006E-2</c:v>
                </c:pt>
                <c:pt idx="17">
                  <c:v>-7.8700000000000006E-2</c:v>
                </c:pt>
                <c:pt idx="18">
                  <c:v>-7.8700000000000006E-2</c:v>
                </c:pt>
                <c:pt idx="19">
                  <c:v>-7.8700000000000006E-2</c:v>
                </c:pt>
                <c:pt idx="20">
                  <c:v>-7.8700000000000006E-2</c:v>
                </c:pt>
                <c:pt idx="21">
                  <c:v>-7.8700000000000006E-2</c:v>
                </c:pt>
                <c:pt idx="22">
                  <c:v>-7.8700000000000006E-2</c:v>
                </c:pt>
                <c:pt idx="23">
                  <c:v>-7.8700000000000006E-2</c:v>
                </c:pt>
                <c:pt idx="24">
                  <c:v>-7.8700000000000006E-2</c:v>
                </c:pt>
                <c:pt idx="25">
                  <c:v>-7.8700000000000006E-2</c:v>
                </c:pt>
                <c:pt idx="26">
                  <c:v>-7.8700000000000006E-2</c:v>
                </c:pt>
                <c:pt idx="27">
                  <c:v>-7.8700000000000006E-2</c:v>
                </c:pt>
                <c:pt idx="28">
                  <c:v>-7.8700000000000006E-2</c:v>
                </c:pt>
                <c:pt idx="29">
                  <c:v>-7.8700000000000006E-2</c:v>
                </c:pt>
                <c:pt idx="30">
                  <c:v>-7.8700000000000006E-2</c:v>
                </c:pt>
                <c:pt idx="31">
                  <c:v>-7.8700000000000006E-2</c:v>
                </c:pt>
                <c:pt idx="32">
                  <c:v>-7.8700000000000006E-2</c:v>
                </c:pt>
                <c:pt idx="33">
                  <c:v>-7.8700000000000006E-2</c:v>
                </c:pt>
                <c:pt idx="34">
                  <c:v>-7.8700000000000006E-2</c:v>
                </c:pt>
                <c:pt idx="35">
                  <c:v>-7.8700000000000006E-2</c:v>
                </c:pt>
                <c:pt idx="36">
                  <c:v>-7.8700000000000006E-2</c:v>
                </c:pt>
                <c:pt idx="37">
                  <c:v>-7.8700000000000006E-2</c:v>
                </c:pt>
                <c:pt idx="38">
                  <c:v>-7.8700000000000006E-2</c:v>
                </c:pt>
                <c:pt idx="39">
                  <c:v>-7.8700000000000006E-2</c:v>
                </c:pt>
                <c:pt idx="40">
                  <c:v>-7.8700000000000006E-2</c:v>
                </c:pt>
                <c:pt idx="41">
                  <c:v>-7.8700000000000006E-2</c:v>
                </c:pt>
                <c:pt idx="42">
                  <c:v>-7.8700000000000006E-2</c:v>
                </c:pt>
                <c:pt idx="43">
                  <c:v>-7.8700000000000006E-2</c:v>
                </c:pt>
                <c:pt idx="44">
                  <c:v>-7.8700000000000006E-2</c:v>
                </c:pt>
                <c:pt idx="45">
                  <c:v>-7.8700000000000006E-2</c:v>
                </c:pt>
                <c:pt idx="46">
                  <c:v>-7.8700000000000006E-2</c:v>
                </c:pt>
                <c:pt idx="47">
                  <c:v>-7.8700000000000006E-2</c:v>
                </c:pt>
                <c:pt idx="48">
                  <c:v>-7.8700000000000006E-2</c:v>
                </c:pt>
                <c:pt idx="49">
                  <c:v>-7.8700000000000006E-2</c:v>
                </c:pt>
                <c:pt idx="50">
                  <c:v>-7.8700000000000006E-2</c:v>
                </c:pt>
                <c:pt idx="51">
                  <c:v>-7.8700000000000006E-2</c:v>
                </c:pt>
                <c:pt idx="52">
                  <c:v>-7.8700000000000006E-2</c:v>
                </c:pt>
                <c:pt idx="53">
                  <c:v>-7.8700000000000006E-2</c:v>
                </c:pt>
                <c:pt idx="54">
                  <c:v>-7.8700000000000006E-2</c:v>
                </c:pt>
                <c:pt idx="55">
                  <c:v>-7.8700000000000006E-2</c:v>
                </c:pt>
                <c:pt idx="56">
                  <c:v>-7.8700000000000006E-2</c:v>
                </c:pt>
                <c:pt idx="57">
                  <c:v>-7.8700000000000006E-2</c:v>
                </c:pt>
                <c:pt idx="58">
                  <c:v>-7.8700000000000006E-2</c:v>
                </c:pt>
                <c:pt idx="59">
                  <c:v>-7.8700000000000006E-2</c:v>
                </c:pt>
                <c:pt idx="60">
                  <c:v>-7.8700000000000006E-2</c:v>
                </c:pt>
                <c:pt idx="61">
                  <c:v>-7.8700000000000006E-2</c:v>
                </c:pt>
                <c:pt idx="62">
                  <c:v>-7.8700000000000006E-2</c:v>
                </c:pt>
                <c:pt idx="63">
                  <c:v>-7.8700000000000006E-2</c:v>
                </c:pt>
                <c:pt idx="64">
                  <c:v>-7.8700000000000006E-2</c:v>
                </c:pt>
                <c:pt idx="65">
                  <c:v>-7.8700000000000006E-2</c:v>
                </c:pt>
                <c:pt idx="66">
                  <c:v>-7.8700000000000006E-2</c:v>
                </c:pt>
                <c:pt idx="67">
                  <c:v>-7.8700000000000006E-2</c:v>
                </c:pt>
                <c:pt idx="68">
                  <c:v>-7.8700000000000006E-2</c:v>
                </c:pt>
                <c:pt idx="69">
                  <c:v>-7.8700000000000006E-2</c:v>
                </c:pt>
                <c:pt idx="70">
                  <c:v>-7.8700000000000006E-2</c:v>
                </c:pt>
                <c:pt idx="71">
                  <c:v>-7.8700000000000006E-2</c:v>
                </c:pt>
                <c:pt idx="72">
                  <c:v>-7.8700000000000006E-2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42-4238-81C7-3D123F762A0D}"/>
            </c:ext>
          </c:extLst>
        </c:ser>
        <c:ser>
          <c:idx val="2"/>
          <c:order val="1"/>
          <c:tx>
            <c:v>BIRE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StaticStability!$A$3:$A$75</c:f>
              <c:numCache>
                <c:formatCode>General</c:formatCode>
                <c:ptCount val="7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-35</c:v>
                </c:pt>
                <c:pt idx="30">
                  <c:v>-30</c:v>
                </c:pt>
                <c:pt idx="31">
                  <c:v>-25</c:v>
                </c:pt>
                <c:pt idx="32">
                  <c:v>-20</c:v>
                </c:pt>
                <c:pt idx="33">
                  <c:v>-15</c:v>
                </c:pt>
                <c:pt idx="34">
                  <c:v>-10</c:v>
                </c:pt>
                <c:pt idx="35">
                  <c:v>-5</c:v>
                </c:pt>
                <c:pt idx="36">
                  <c:v>0</c:v>
                </c:pt>
                <c:pt idx="37">
                  <c:v>5</c:v>
                </c:pt>
                <c:pt idx="38">
                  <c:v>10</c:v>
                </c:pt>
                <c:pt idx="39">
                  <c:v>15</c:v>
                </c:pt>
                <c:pt idx="40">
                  <c:v>20</c:v>
                </c:pt>
                <c:pt idx="41">
                  <c:v>25</c:v>
                </c:pt>
                <c:pt idx="42">
                  <c:v>30</c:v>
                </c:pt>
                <c:pt idx="43">
                  <c:v>35</c:v>
                </c:pt>
                <c:pt idx="44">
                  <c:v>40</c:v>
                </c:pt>
                <c:pt idx="45">
                  <c:v>45</c:v>
                </c:pt>
                <c:pt idx="46">
                  <c:v>50</c:v>
                </c:pt>
                <c:pt idx="47">
                  <c:v>55</c:v>
                </c:pt>
                <c:pt idx="48">
                  <c:v>60</c:v>
                </c:pt>
                <c:pt idx="49">
                  <c:v>65</c:v>
                </c:pt>
                <c:pt idx="50">
                  <c:v>70</c:v>
                </c:pt>
                <c:pt idx="51">
                  <c:v>75</c:v>
                </c:pt>
                <c:pt idx="52">
                  <c:v>80</c:v>
                </c:pt>
                <c:pt idx="53">
                  <c:v>85</c:v>
                </c:pt>
                <c:pt idx="54">
                  <c:v>90</c:v>
                </c:pt>
                <c:pt idx="55">
                  <c:v>95</c:v>
                </c:pt>
                <c:pt idx="56">
                  <c:v>100</c:v>
                </c:pt>
                <c:pt idx="57">
                  <c:v>105</c:v>
                </c:pt>
                <c:pt idx="58">
                  <c:v>110</c:v>
                </c:pt>
                <c:pt idx="59">
                  <c:v>115</c:v>
                </c:pt>
                <c:pt idx="60">
                  <c:v>120</c:v>
                </c:pt>
                <c:pt idx="61">
                  <c:v>125</c:v>
                </c:pt>
                <c:pt idx="62">
                  <c:v>130</c:v>
                </c:pt>
                <c:pt idx="63">
                  <c:v>135</c:v>
                </c:pt>
                <c:pt idx="64">
                  <c:v>140</c:v>
                </c:pt>
                <c:pt idx="65">
                  <c:v>145</c:v>
                </c:pt>
                <c:pt idx="66">
                  <c:v>150</c:v>
                </c:pt>
                <c:pt idx="67">
                  <c:v>155</c:v>
                </c:pt>
                <c:pt idx="68">
                  <c:v>160</c:v>
                </c:pt>
                <c:pt idx="69">
                  <c:v>165</c:v>
                </c:pt>
                <c:pt idx="70">
                  <c:v>170</c:v>
                </c:pt>
                <c:pt idx="71">
                  <c:v>175</c:v>
                </c:pt>
                <c:pt idx="72">
                  <c:v>180</c:v>
                </c:pt>
              </c:numCache>
            </c:numRef>
          </c:xVal>
          <c:yVal>
            <c:numRef>
              <c:f>StaticStability!$E$3:$E$75</c:f>
              <c:numCache>
                <c:formatCode>General</c:formatCode>
                <c:ptCount val="73"/>
                <c:pt idx="0">
                  <c:v>-2.8305114331981299E-2</c:v>
                </c:pt>
                <c:pt idx="1">
                  <c:v>-2.8305114331981299E-2</c:v>
                </c:pt>
                <c:pt idx="2">
                  <c:v>-2.8305114331981299E-2</c:v>
                </c:pt>
                <c:pt idx="3">
                  <c:v>-2.8305114331981299E-2</c:v>
                </c:pt>
                <c:pt idx="4">
                  <c:v>-2.8305114331981299E-2</c:v>
                </c:pt>
                <c:pt idx="5">
                  <c:v>-2.8305114331981299E-2</c:v>
                </c:pt>
                <c:pt idx="6">
                  <c:v>-2.8305114331981299E-2</c:v>
                </c:pt>
                <c:pt idx="7">
                  <c:v>-2.8305114331981299E-2</c:v>
                </c:pt>
                <c:pt idx="8">
                  <c:v>-2.8305114331981299E-2</c:v>
                </c:pt>
                <c:pt idx="9">
                  <c:v>-2.8305114331981299E-2</c:v>
                </c:pt>
                <c:pt idx="10">
                  <c:v>-2.8305114331981299E-2</c:v>
                </c:pt>
                <c:pt idx="11">
                  <c:v>-2.8305114331981299E-2</c:v>
                </c:pt>
                <c:pt idx="12">
                  <c:v>-2.8305114331981299E-2</c:v>
                </c:pt>
                <c:pt idx="13">
                  <c:v>-2.8305114331981299E-2</c:v>
                </c:pt>
                <c:pt idx="14">
                  <c:v>-2.8305114331981299E-2</c:v>
                </c:pt>
                <c:pt idx="15">
                  <c:v>-2.8305114331981299E-2</c:v>
                </c:pt>
                <c:pt idx="16">
                  <c:v>-2.8305114331981299E-2</c:v>
                </c:pt>
                <c:pt idx="17">
                  <c:v>-2.8305114331981299E-2</c:v>
                </c:pt>
                <c:pt idx="18">
                  <c:v>-2.8305114331981299E-2</c:v>
                </c:pt>
                <c:pt idx="19">
                  <c:v>-2.8305114331981299E-2</c:v>
                </c:pt>
                <c:pt idx="20">
                  <c:v>-2.8305114331981299E-2</c:v>
                </c:pt>
                <c:pt idx="21">
                  <c:v>-2.8305114331981299E-2</c:v>
                </c:pt>
                <c:pt idx="22">
                  <c:v>-2.8305114331981299E-2</c:v>
                </c:pt>
                <c:pt idx="23">
                  <c:v>-2.8305114331981299E-2</c:v>
                </c:pt>
                <c:pt idx="24">
                  <c:v>-2.8305114331981299E-2</c:v>
                </c:pt>
                <c:pt idx="25">
                  <c:v>-2.8305114331981299E-2</c:v>
                </c:pt>
                <c:pt idx="26">
                  <c:v>-2.8305114331981299E-2</c:v>
                </c:pt>
                <c:pt idx="27">
                  <c:v>-2.8305114331981299E-2</c:v>
                </c:pt>
                <c:pt idx="28">
                  <c:v>-2.8305114331981299E-2</c:v>
                </c:pt>
                <c:pt idx="29">
                  <c:v>-2.8305114331981299E-2</c:v>
                </c:pt>
                <c:pt idx="30">
                  <c:v>-2.8305114331981299E-2</c:v>
                </c:pt>
                <c:pt idx="31">
                  <c:v>-2.8305114331981299E-2</c:v>
                </c:pt>
                <c:pt idx="32">
                  <c:v>-2.8305114331981299E-2</c:v>
                </c:pt>
                <c:pt idx="33">
                  <c:v>-2.8305114331981299E-2</c:v>
                </c:pt>
                <c:pt idx="34">
                  <c:v>-2.8305114331981299E-2</c:v>
                </c:pt>
                <c:pt idx="35">
                  <c:v>-2.8305114331981299E-2</c:v>
                </c:pt>
                <c:pt idx="36">
                  <c:v>-2.8305114331981299E-2</c:v>
                </c:pt>
                <c:pt idx="37">
                  <c:v>-2.8305114331981299E-2</c:v>
                </c:pt>
                <c:pt idx="38">
                  <c:v>-2.8305114331981299E-2</c:v>
                </c:pt>
                <c:pt idx="39">
                  <c:v>-2.8305114331981299E-2</c:v>
                </c:pt>
                <c:pt idx="40">
                  <c:v>-2.8305114331981299E-2</c:v>
                </c:pt>
                <c:pt idx="41">
                  <c:v>-2.8305114331981299E-2</c:v>
                </c:pt>
                <c:pt idx="42">
                  <c:v>-2.8305114331981299E-2</c:v>
                </c:pt>
                <c:pt idx="43">
                  <c:v>-2.8305114331981299E-2</c:v>
                </c:pt>
                <c:pt idx="44">
                  <c:v>-2.8305114331981299E-2</c:v>
                </c:pt>
                <c:pt idx="45">
                  <c:v>-2.8305114331981299E-2</c:v>
                </c:pt>
                <c:pt idx="46">
                  <c:v>-2.8305114331981299E-2</c:v>
                </c:pt>
                <c:pt idx="47">
                  <c:v>-2.8305114331981299E-2</c:v>
                </c:pt>
                <c:pt idx="48">
                  <c:v>-2.8305114331981299E-2</c:v>
                </c:pt>
                <c:pt idx="49">
                  <c:v>-2.8305114331981299E-2</c:v>
                </c:pt>
                <c:pt idx="50">
                  <c:v>-2.8305114331981299E-2</c:v>
                </c:pt>
                <c:pt idx="51">
                  <c:v>-2.8305114331981299E-2</c:v>
                </c:pt>
                <c:pt idx="52">
                  <c:v>-2.8305114331981299E-2</c:v>
                </c:pt>
                <c:pt idx="53">
                  <c:v>-2.8305114331981299E-2</c:v>
                </c:pt>
                <c:pt idx="54">
                  <c:v>-2.8305114331981299E-2</c:v>
                </c:pt>
                <c:pt idx="55">
                  <c:v>-2.8305114331981299E-2</c:v>
                </c:pt>
                <c:pt idx="56">
                  <c:v>-2.8305114331981299E-2</c:v>
                </c:pt>
                <c:pt idx="57">
                  <c:v>-2.8305114331981299E-2</c:v>
                </c:pt>
                <c:pt idx="58">
                  <c:v>-2.8305114331981299E-2</c:v>
                </c:pt>
                <c:pt idx="59">
                  <c:v>-2.8305114331981299E-2</c:v>
                </c:pt>
                <c:pt idx="60">
                  <c:v>-2.8305114331981299E-2</c:v>
                </c:pt>
                <c:pt idx="61">
                  <c:v>-2.8305114331981299E-2</c:v>
                </c:pt>
                <c:pt idx="62">
                  <c:v>-2.8305114331981299E-2</c:v>
                </c:pt>
                <c:pt idx="63">
                  <c:v>-2.8305114331981299E-2</c:v>
                </c:pt>
                <c:pt idx="64">
                  <c:v>-2.8305114331981299E-2</c:v>
                </c:pt>
                <c:pt idx="65">
                  <c:v>-2.8305114331981299E-2</c:v>
                </c:pt>
                <c:pt idx="66">
                  <c:v>-2.8305114331981299E-2</c:v>
                </c:pt>
                <c:pt idx="67">
                  <c:v>-2.8305114331981299E-2</c:v>
                </c:pt>
                <c:pt idx="68">
                  <c:v>-2.8305114331981299E-2</c:v>
                </c:pt>
                <c:pt idx="69">
                  <c:v>-2.8305114331981299E-2</c:v>
                </c:pt>
                <c:pt idx="70">
                  <c:v>-2.8305114331981299E-2</c:v>
                </c:pt>
                <c:pt idx="71">
                  <c:v>-2.8305114331981299E-2</c:v>
                </c:pt>
                <c:pt idx="72">
                  <c:v>-2.8305114331981299E-2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42-4238-81C7-3D123F76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BIRE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Rotation Angle, </a:t>
                </a:r>
                <a:r>
                  <a:rPr lang="el-GR" sz="1400" i="1" baseline="0">
                    <a:solidFill>
                      <a:sysClr val="windowText" lastClr="000000"/>
                    </a:solidFill>
                  </a:rPr>
                  <a:t>δ</a:t>
                </a:r>
                <a:r>
                  <a:rPr lang="en-US" sz="1400" i="1" baseline="-25000">
                    <a:solidFill>
                      <a:sysClr val="windowText" lastClr="000000"/>
                    </a:solidFill>
                  </a:rPr>
                  <a:t>B</a:t>
                </a:r>
                <a:r>
                  <a:rPr lang="en-US" sz="1400" i="1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400" i="0" baseline="0">
                    <a:solidFill>
                      <a:sysClr val="windowText" lastClr="000000"/>
                    </a:solidFill>
                  </a:rPr>
                  <a:t>[deg.]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1007102683593116"/>
              <c:y val="0.95578703703703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30"/>
      </c:valAx>
      <c:valAx>
        <c:axId val="1887069584"/>
        <c:scaling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i="0">
                    <a:solidFill>
                      <a:sysClr val="windowText" lastClr="000000"/>
                    </a:solidFill>
                  </a:rPr>
                  <a:t>Roll</a:t>
                </a:r>
                <a:r>
                  <a:rPr lang="en-US" sz="1400" i="0" baseline="0">
                    <a:solidFill>
                      <a:sysClr val="windowText" lastClr="000000"/>
                    </a:solidFill>
                  </a:rPr>
                  <a:t> Stability Derivative, </a:t>
                </a:r>
                <a:r>
                  <a:rPr lang="en-US" sz="1400" i="1">
                    <a:solidFill>
                      <a:sysClr val="windowText" lastClr="000000"/>
                    </a:solidFill>
                  </a:rPr>
                  <a:t>C</a:t>
                </a:r>
                <a:r>
                  <a:rPr lang="en-US" sz="1400" i="1" baseline="-25000">
                    <a:solidFill>
                      <a:sysClr val="windowText" lastClr="000000"/>
                    </a:solidFill>
                  </a:rPr>
                  <a:t>l,</a:t>
                </a:r>
                <a:r>
                  <a:rPr lang="el-GR" sz="1400" i="1" baseline="-25000">
                    <a:solidFill>
                      <a:sysClr val="windowText" lastClr="000000"/>
                    </a:solidFill>
                  </a:rPr>
                  <a:t>β</a:t>
                </a:r>
                <a:endParaRPr lang="en-US" sz="1400" i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6.4351598907279447E-3"/>
              <c:y val="0.20987222951297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  <c:majorUnit val="1.0000000000000002E-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4056617922759647"/>
          <c:y val="3.1517935258092745E-2"/>
          <c:w val="0.13636938239862872"/>
          <c:h val="7.3538203557888593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282480314960644"/>
          <c:h val="0.88924110450174076"/>
        </c:manualLayout>
      </c:layout>
      <c:scatterChart>
        <c:scatterStyle val="lineMarker"/>
        <c:varyColors val="0"/>
        <c:ser>
          <c:idx val="0"/>
          <c:order val="0"/>
          <c:tx>
            <c:v>Baseline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StaticStability!$A$3:$A$75</c:f>
              <c:numCache>
                <c:formatCode>General</c:formatCode>
                <c:ptCount val="7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-35</c:v>
                </c:pt>
                <c:pt idx="30">
                  <c:v>-30</c:v>
                </c:pt>
                <c:pt idx="31">
                  <c:v>-25</c:v>
                </c:pt>
                <c:pt idx="32">
                  <c:v>-20</c:v>
                </c:pt>
                <c:pt idx="33">
                  <c:v>-15</c:v>
                </c:pt>
                <c:pt idx="34">
                  <c:v>-10</c:v>
                </c:pt>
                <c:pt idx="35">
                  <c:v>-5</c:v>
                </c:pt>
                <c:pt idx="36">
                  <c:v>0</c:v>
                </c:pt>
                <c:pt idx="37">
                  <c:v>5</c:v>
                </c:pt>
                <c:pt idx="38">
                  <c:v>10</c:v>
                </c:pt>
                <c:pt idx="39">
                  <c:v>15</c:v>
                </c:pt>
                <c:pt idx="40">
                  <c:v>20</c:v>
                </c:pt>
                <c:pt idx="41">
                  <c:v>25</c:v>
                </c:pt>
                <c:pt idx="42">
                  <c:v>30</c:v>
                </c:pt>
                <c:pt idx="43">
                  <c:v>35</c:v>
                </c:pt>
                <c:pt idx="44">
                  <c:v>40</c:v>
                </c:pt>
                <c:pt idx="45">
                  <c:v>45</c:v>
                </c:pt>
                <c:pt idx="46">
                  <c:v>50</c:v>
                </c:pt>
                <c:pt idx="47">
                  <c:v>55</c:v>
                </c:pt>
                <c:pt idx="48">
                  <c:v>60</c:v>
                </c:pt>
                <c:pt idx="49">
                  <c:v>65</c:v>
                </c:pt>
                <c:pt idx="50">
                  <c:v>70</c:v>
                </c:pt>
                <c:pt idx="51">
                  <c:v>75</c:v>
                </c:pt>
                <c:pt idx="52">
                  <c:v>80</c:v>
                </c:pt>
                <c:pt idx="53">
                  <c:v>85</c:v>
                </c:pt>
                <c:pt idx="54">
                  <c:v>90</c:v>
                </c:pt>
                <c:pt idx="55">
                  <c:v>95</c:v>
                </c:pt>
                <c:pt idx="56">
                  <c:v>100</c:v>
                </c:pt>
                <c:pt idx="57">
                  <c:v>105</c:v>
                </c:pt>
                <c:pt idx="58">
                  <c:v>110</c:v>
                </c:pt>
                <c:pt idx="59">
                  <c:v>115</c:v>
                </c:pt>
                <c:pt idx="60">
                  <c:v>120</c:v>
                </c:pt>
                <c:pt idx="61">
                  <c:v>125</c:v>
                </c:pt>
                <c:pt idx="62">
                  <c:v>130</c:v>
                </c:pt>
                <c:pt idx="63">
                  <c:v>135</c:v>
                </c:pt>
                <c:pt idx="64">
                  <c:v>140</c:v>
                </c:pt>
                <c:pt idx="65">
                  <c:v>145</c:v>
                </c:pt>
                <c:pt idx="66">
                  <c:v>150</c:v>
                </c:pt>
                <c:pt idx="67">
                  <c:v>155</c:v>
                </c:pt>
                <c:pt idx="68">
                  <c:v>160</c:v>
                </c:pt>
                <c:pt idx="69">
                  <c:v>165</c:v>
                </c:pt>
                <c:pt idx="70">
                  <c:v>170</c:v>
                </c:pt>
                <c:pt idx="71">
                  <c:v>175</c:v>
                </c:pt>
                <c:pt idx="72">
                  <c:v>180</c:v>
                </c:pt>
              </c:numCache>
            </c:numRef>
          </c:xVal>
          <c:yVal>
            <c:numRef>
              <c:f>StaticStability!$F$3:$F$75</c:f>
              <c:numCache>
                <c:formatCode>General</c:formatCode>
                <c:ptCount val="73"/>
                <c:pt idx="0">
                  <c:v>0.24260000000000001</c:v>
                </c:pt>
                <c:pt idx="1">
                  <c:v>0.24260000000000001</c:v>
                </c:pt>
                <c:pt idx="2">
                  <c:v>0.24260000000000001</c:v>
                </c:pt>
                <c:pt idx="3">
                  <c:v>0.24260000000000001</c:v>
                </c:pt>
                <c:pt idx="4">
                  <c:v>0.24260000000000001</c:v>
                </c:pt>
                <c:pt idx="5">
                  <c:v>0.24260000000000001</c:v>
                </c:pt>
                <c:pt idx="6">
                  <c:v>0.24260000000000001</c:v>
                </c:pt>
                <c:pt idx="7">
                  <c:v>0.24260000000000001</c:v>
                </c:pt>
                <c:pt idx="8">
                  <c:v>0.24260000000000001</c:v>
                </c:pt>
                <c:pt idx="9">
                  <c:v>0.24260000000000001</c:v>
                </c:pt>
                <c:pt idx="10">
                  <c:v>0.24260000000000001</c:v>
                </c:pt>
                <c:pt idx="11">
                  <c:v>0.24260000000000001</c:v>
                </c:pt>
                <c:pt idx="12">
                  <c:v>0.24260000000000001</c:v>
                </c:pt>
                <c:pt idx="13">
                  <c:v>0.24260000000000001</c:v>
                </c:pt>
                <c:pt idx="14">
                  <c:v>0.24260000000000001</c:v>
                </c:pt>
                <c:pt idx="15">
                  <c:v>0.24260000000000001</c:v>
                </c:pt>
                <c:pt idx="16">
                  <c:v>0.24260000000000001</c:v>
                </c:pt>
                <c:pt idx="17">
                  <c:v>0.24260000000000001</c:v>
                </c:pt>
                <c:pt idx="18">
                  <c:v>0.24260000000000001</c:v>
                </c:pt>
                <c:pt idx="19">
                  <c:v>0.24260000000000001</c:v>
                </c:pt>
                <c:pt idx="20">
                  <c:v>0.24260000000000001</c:v>
                </c:pt>
                <c:pt idx="21">
                  <c:v>0.24260000000000001</c:v>
                </c:pt>
                <c:pt idx="22">
                  <c:v>0.24260000000000001</c:v>
                </c:pt>
                <c:pt idx="23">
                  <c:v>0.24260000000000001</c:v>
                </c:pt>
                <c:pt idx="24">
                  <c:v>0.24260000000000001</c:v>
                </c:pt>
                <c:pt idx="25">
                  <c:v>0.24260000000000001</c:v>
                </c:pt>
                <c:pt idx="26">
                  <c:v>0.24260000000000001</c:v>
                </c:pt>
                <c:pt idx="27">
                  <c:v>0.24260000000000001</c:v>
                </c:pt>
                <c:pt idx="28">
                  <c:v>0.24260000000000001</c:v>
                </c:pt>
                <c:pt idx="29">
                  <c:v>0.24260000000000001</c:v>
                </c:pt>
                <c:pt idx="30">
                  <c:v>0.24260000000000001</c:v>
                </c:pt>
                <c:pt idx="31">
                  <c:v>0.24260000000000001</c:v>
                </c:pt>
                <c:pt idx="32">
                  <c:v>0.24260000000000001</c:v>
                </c:pt>
                <c:pt idx="33">
                  <c:v>0.24260000000000001</c:v>
                </c:pt>
                <c:pt idx="34">
                  <c:v>0.24260000000000001</c:v>
                </c:pt>
                <c:pt idx="35">
                  <c:v>0.24260000000000001</c:v>
                </c:pt>
                <c:pt idx="36">
                  <c:v>0.24260000000000001</c:v>
                </c:pt>
                <c:pt idx="37">
                  <c:v>0.24260000000000001</c:v>
                </c:pt>
                <c:pt idx="38">
                  <c:v>0.24260000000000001</c:v>
                </c:pt>
                <c:pt idx="39">
                  <c:v>0.24260000000000001</c:v>
                </c:pt>
                <c:pt idx="40">
                  <c:v>0.24260000000000001</c:v>
                </c:pt>
                <c:pt idx="41">
                  <c:v>0.24260000000000001</c:v>
                </c:pt>
                <c:pt idx="42">
                  <c:v>0.24260000000000001</c:v>
                </c:pt>
                <c:pt idx="43">
                  <c:v>0.24260000000000001</c:v>
                </c:pt>
                <c:pt idx="44">
                  <c:v>0.24260000000000001</c:v>
                </c:pt>
                <c:pt idx="45">
                  <c:v>0.24260000000000001</c:v>
                </c:pt>
                <c:pt idx="46">
                  <c:v>0.24260000000000001</c:v>
                </c:pt>
                <c:pt idx="47">
                  <c:v>0.24260000000000001</c:v>
                </c:pt>
                <c:pt idx="48">
                  <c:v>0.24260000000000001</c:v>
                </c:pt>
                <c:pt idx="49">
                  <c:v>0.24260000000000001</c:v>
                </c:pt>
                <c:pt idx="50">
                  <c:v>0.24260000000000001</c:v>
                </c:pt>
                <c:pt idx="51">
                  <c:v>0.24260000000000001</c:v>
                </c:pt>
                <c:pt idx="52">
                  <c:v>0.24260000000000001</c:v>
                </c:pt>
                <c:pt idx="53">
                  <c:v>0.24260000000000001</c:v>
                </c:pt>
                <c:pt idx="54">
                  <c:v>0.24260000000000001</c:v>
                </c:pt>
                <c:pt idx="55">
                  <c:v>0.24260000000000001</c:v>
                </c:pt>
                <c:pt idx="56">
                  <c:v>0.24260000000000001</c:v>
                </c:pt>
                <c:pt idx="57">
                  <c:v>0.24260000000000001</c:v>
                </c:pt>
                <c:pt idx="58">
                  <c:v>0.24260000000000001</c:v>
                </c:pt>
                <c:pt idx="59">
                  <c:v>0.24260000000000001</c:v>
                </c:pt>
                <c:pt idx="60">
                  <c:v>0.24260000000000001</c:v>
                </c:pt>
                <c:pt idx="61">
                  <c:v>0.24260000000000001</c:v>
                </c:pt>
                <c:pt idx="62">
                  <c:v>0.24260000000000001</c:v>
                </c:pt>
                <c:pt idx="63">
                  <c:v>0.24260000000000001</c:v>
                </c:pt>
                <c:pt idx="64">
                  <c:v>0.24260000000000001</c:v>
                </c:pt>
                <c:pt idx="65">
                  <c:v>0.24260000000000001</c:v>
                </c:pt>
                <c:pt idx="66">
                  <c:v>0.24260000000000001</c:v>
                </c:pt>
                <c:pt idx="67">
                  <c:v>0.24260000000000001</c:v>
                </c:pt>
                <c:pt idx="68">
                  <c:v>0.24260000000000001</c:v>
                </c:pt>
                <c:pt idx="69">
                  <c:v>0.24260000000000001</c:v>
                </c:pt>
                <c:pt idx="70">
                  <c:v>0.24260000000000001</c:v>
                </c:pt>
                <c:pt idx="71">
                  <c:v>0.24260000000000001</c:v>
                </c:pt>
                <c:pt idx="72">
                  <c:v>0.24260000000000001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34-4D2A-8B49-E050775CBD8B}"/>
            </c:ext>
          </c:extLst>
        </c:ser>
        <c:ser>
          <c:idx val="2"/>
          <c:order val="1"/>
          <c:tx>
            <c:v>BIRE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StaticStability!$A$3:$A$75</c:f>
              <c:numCache>
                <c:formatCode>General</c:formatCode>
                <c:ptCount val="7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-35</c:v>
                </c:pt>
                <c:pt idx="30">
                  <c:v>-30</c:v>
                </c:pt>
                <c:pt idx="31">
                  <c:v>-25</c:v>
                </c:pt>
                <c:pt idx="32">
                  <c:v>-20</c:v>
                </c:pt>
                <c:pt idx="33">
                  <c:v>-15</c:v>
                </c:pt>
                <c:pt idx="34">
                  <c:v>-10</c:v>
                </c:pt>
                <c:pt idx="35">
                  <c:v>-5</c:v>
                </c:pt>
                <c:pt idx="36">
                  <c:v>0</c:v>
                </c:pt>
                <c:pt idx="37">
                  <c:v>5</c:v>
                </c:pt>
                <c:pt idx="38">
                  <c:v>10</c:v>
                </c:pt>
                <c:pt idx="39">
                  <c:v>15</c:v>
                </c:pt>
                <c:pt idx="40">
                  <c:v>20</c:v>
                </c:pt>
                <c:pt idx="41">
                  <c:v>25</c:v>
                </c:pt>
                <c:pt idx="42">
                  <c:v>30</c:v>
                </c:pt>
                <c:pt idx="43">
                  <c:v>35</c:v>
                </c:pt>
                <c:pt idx="44">
                  <c:v>40</c:v>
                </c:pt>
                <c:pt idx="45">
                  <c:v>45</c:v>
                </c:pt>
                <c:pt idx="46">
                  <c:v>50</c:v>
                </c:pt>
                <c:pt idx="47">
                  <c:v>55</c:v>
                </c:pt>
                <c:pt idx="48">
                  <c:v>60</c:v>
                </c:pt>
                <c:pt idx="49">
                  <c:v>65</c:v>
                </c:pt>
                <c:pt idx="50">
                  <c:v>70</c:v>
                </c:pt>
                <c:pt idx="51">
                  <c:v>75</c:v>
                </c:pt>
                <c:pt idx="52">
                  <c:v>80</c:v>
                </c:pt>
                <c:pt idx="53">
                  <c:v>85</c:v>
                </c:pt>
                <c:pt idx="54">
                  <c:v>90</c:v>
                </c:pt>
                <c:pt idx="55">
                  <c:v>95</c:v>
                </c:pt>
                <c:pt idx="56">
                  <c:v>100</c:v>
                </c:pt>
                <c:pt idx="57">
                  <c:v>105</c:v>
                </c:pt>
                <c:pt idx="58">
                  <c:v>110</c:v>
                </c:pt>
                <c:pt idx="59">
                  <c:v>115</c:v>
                </c:pt>
                <c:pt idx="60">
                  <c:v>120</c:v>
                </c:pt>
                <c:pt idx="61">
                  <c:v>125</c:v>
                </c:pt>
                <c:pt idx="62">
                  <c:v>130</c:v>
                </c:pt>
                <c:pt idx="63">
                  <c:v>135</c:v>
                </c:pt>
                <c:pt idx="64">
                  <c:v>140</c:v>
                </c:pt>
                <c:pt idx="65">
                  <c:v>145</c:v>
                </c:pt>
                <c:pt idx="66">
                  <c:v>150</c:v>
                </c:pt>
                <c:pt idx="67">
                  <c:v>155</c:v>
                </c:pt>
                <c:pt idx="68">
                  <c:v>160</c:v>
                </c:pt>
                <c:pt idx="69">
                  <c:v>165</c:v>
                </c:pt>
                <c:pt idx="70">
                  <c:v>170</c:v>
                </c:pt>
                <c:pt idx="71">
                  <c:v>175</c:v>
                </c:pt>
                <c:pt idx="72">
                  <c:v>180</c:v>
                </c:pt>
              </c:numCache>
            </c:numRef>
          </c:xVal>
          <c:yVal>
            <c:numRef>
              <c:f>StaticStability!$G$3:$G$75</c:f>
              <c:numCache>
                <c:formatCode>General</c:formatCode>
                <c:ptCount val="73"/>
                <c:pt idx="0">
                  <c:v>-3.7288369192444978E-2</c:v>
                </c:pt>
                <c:pt idx="1">
                  <c:v>-3.2462566636264997E-2</c:v>
                </c:pt>
                <c:pt idx="2">
                  <c:v>-1.8131788536419988E-2</c:v>
                </c:pt>
                <c:pt idx="3">
                  <c:v>5.2685316662502563E-3</c:v>
                </c:pt>
                <c:pt idx="4">
                  <c:v>3.7027387083520366E-2</c:v>
                </c:pt>
                <c:pt idx="5">
                  <c:v>7.6179800964293096E-2</c:v>
                </c:pt>
                <c:pt idx="6">
                  <c:v>0.12153614702487865</c:v>
                </c:pt>
                <c:pt idx="7">
                  <c:v>0.17171829564164459</c:v>
                </c:pt>
                <c:pt idx="8">
                  <c:v>0.22520148762226322</c:v>
                </c:pt>
                <c:pt idx="9">
                  <c:v>0.28036066324220393</c:v>
                </c:pt>
                <c:pt idx="10">
                  <c:v>0.33551983886214465</c:v>
                </c:pt>
                <c:pt idx="11">
                  <c:v>0.38900303084276328</c:v>
                </c:pt>
                <c:pt idx="12">
                  <c:v>0.43918517945952978</c:v>
                </c:pt>
                <c:pt idx="13">
                  <c:v>0.4845415255201157</c:v>
                </c:pt>
                <c:pt idx="14">
                  <c:v>0.52369393940088915</c:v>
                </c:pt>
                <c:pt idx="15">
                  <c:v>0.55545279481815979</c:v>
                </c:pt>
                <c:pt idx="16">
                  <c:v>0.57885311502083059</c:v>
                </c:pt>
                <c:pt idx="17">
                  <c:v>0.59318389312067632</c:v>
                </c:pt>
                <c:pt idx="18">
                  <c:v>0.59800969567685702</c:v>
                </c:pt>
                <c:pt idx="19">
                  <c:v>0.5931838931206771</c:v>
                </c:pt>
                <c:pt idx="20">
                  <c:v>0.57885311502083192</c:v>
                </c:pt>
                <c:pt idx="21">
                  <c:v>0.55545279481816201</c:v>
                </c:pt>
                <c:pt idx="22">
                  <c:v>0.52369393940089182</c:v>
                </c:pt>
                <c:pt idx="23">
                  <c:v>0.48454152552011892</c:v>
                </c:pt>
                <c:pt idx="24">
                  <c:v>0.43918517945953328</c:v>
                </c:pt>
                <c:pt idx="25">
                  <c:v>0.38900303084276733</c:v>
                </c:pt>
                <c:pt idx="26">
                  <c:v>0.33551983886214887</c:v>
                </c:pt>
                <c:pt idx="27">
                  <c:v>0.2803606632422081</c:v>
                </c:pt>
                <c:pt idx="28">
                  <c:v>0.22520148762226727</c:v>
                </c:pt>
                <c:pt idx="29">
                  <c:v>0.17171829564164864</c:v>
                </c:pt>
                <c:pt idx="30">
                  <c:v>0.12153614702488232</c:v>
                </c:pt>
                <c:pt idx="31">
                  <c:v>7.6179800964296343E-2</c:v>
                </c:pt>
                <c:pt idx="32">
                  <c:v>3.7027387083522947E-2</c:v>
                </c:pt>
                <c:pt idx="33">
                  <c:v>5.2685316662521992E-3</c:v>
                </c:pt>
                <c:pt idx="34">
                  <c:v>-1.8131788536418489E-2</c:v>
                </c:pt>
                <c:pt idx="35">
                  <c:v>-3.2462566636264276E-2</c:v>
                </c:pt>
                <c:pt idx="36">
                  <c:v>-3.7288369192444978E-2</c:v>
                </c:pt>
                <c:pt idx="37">
                  <c:v>-3.2462566636264997E-2</c:v>
                </c:pt>
                <c:pt idx="38">
                  <c:v>-1.8131788536419932E-2</c:v>
                </c:pt>
                <c:pt idx="39">
                  <c:v>5.2685316662500342E-3</c:v>
                </c:pt>
                <c:pt idx="40">
                  <c:v>3.7027387083520227E-2</c:v>
                </c:pt>
                <c:pt idx="41">
                  <c:v>7.617980096429304E-2</c:v>
                </c:pt>
                <c:pt idx="42">
                  <c:v>0.12153614702487868</c:v>
                </c:pt>
                <c:pt idx="43">
                  <c:v>0.17171829564164465</c:v>
                </c:pt>
                <c:pt idx="44">
                  <c:v>0.225201487622263</c:v>
                </c:pt>
                <c:pt idx="45">
                  <c:v>0.28036066324220382</c:v>
                </c:pt>
                <c:pt idx="46">
                  <c:v>0.3355198388621447</c:v>
                </c:pt>
                <c:pt idx="47">
                  <c:v>0.38900303084276328</c:v>
                </c:pt>
                <c:pt idx="48">
                  <c:v>0.43918517945952956</c:v>
                </c:pt>
                <c:pt idx="49">
                  <c:v>0.48454152552011559</c:v>
                </c:pt>
                <c:pt idx="50">
                  <c:v>0.52369393940088915</c:v>
                </c:pt>
                <c:pt idx="51">
                  <c:v>0.5554527948181599</c:v>
                </c:pt>
                <c:pt idx="52">
                  <c:v>0.57885311502083048</c:v>
                </c:pt>
                <c:pt idx="53">
                  <c:v>0.59318389312067621</c:v>
                </c:pt>
                <c:pt idx="54">
                  <c:v>0.59800969567685702</c:v>
                </c:pt>
                <c:pt idx="55">
                  <c:v>0.5931838931206771</c:v>
                </c:pt>
                <c:pt idx="56">
                  <c:v>0.57885311502083192</c:v>
                </c:pt>
                <c:pt idx="57">
                  <c:v>0.5554527948181619</c:v>
                </c:pt>
                <c:pt idx="58">
                  <c:v>0.52369393940089171</c:v>
                </c:pt>
                <c:pt idx="59">
                  <c:v>0.48454152552011892</c:v>
                </c:pt>
                <c:pt idx="60">
                  <c:v>0.43918517945953334</c:v>
                </c:pt>
                <c:pt idx="61">
                  <c:v>0.38900303084276738</c:v>
                </c:pt>
                <c:pt idx="62">
                  <c:v>0.33551983886214903</c:v>
                </c:pt>
                <c:pt idx="63">
                  <c:v>0.28036066324220832</c:v>
                </c:pt>
                <c:pt idx="64">
                  <c:v>0.22520148762226755</c:v>
                </c:pt>
                <c:pt idx="65">
                  <c:v>0.17171829564164848</c:v>
                </c:pt>
                <c:pt idx="66">
                  <c:v>0.12153614702488223</c:v>
                </c:pt>
                <c:pt idx="67">
                  <c:v>7.6179800964296232E-2</c:v>
                </c:pt>
                <c:pt idx="68">
                  <c:v>3.7027387083522947E-2</c:v>
                </c:pt>
                <c:pt idx="69">
                  <c:v>5.2685316662521992E-3</c:v>
                </c:pt>
                <c:pt idx="70">
                  <c:v>-1.8131788536418433E-2</c:v>
                </c:pt>
                <c:pt idx="71">
                  <c:v>-3.246256663626422E-2</c:v>
                </c:pt>
                <c:pt idx="72">
                  <c:v>-3.7288369192444978E-2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34-4D2A-8B49-E050775CB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072912"/>
        <c:axId val="1887069584"/>
      </c:scatterChart>
      <c:valAx>
        <c:axId val="1887072912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BIRE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Rotation Angle, </a:t>
                </a:r>
                <a:r>
                  <a:rPr lang="el-GR" sz="1400" i="1" baseline="0">
                    <a:solidFill>
                      <a:sysClr val="windowText" lastClr="000000"/>
                    </a:solidFill>
                  </a:rPr>
                  <a:t>δ</a:t>
                </a:r>
                <a:r>
                  <a:rPr lang="en-US" sz="1400" i="1" baseline="-25000">
                    <a:solidFill>
                      <a:sysClr val="windowText" lastClr="000000"/>
                    </a:solidFill>
                  </a:rPr>
                  <a:t>B</a:t>
                </a:r>
                <a:r>
                  <a:rPr lang="en-US" sz="1400" i="1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400" i="0" baseline="0">
                    <a:solidFill>
                      <a:sysClr val="windowText" lastClr="000000"/>
                    </a:solidFill>
                  </a:rPr>
                  <a:t>[deg.]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1007102683593116"/>
              <c:y val="0.95578703703703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crossBetween val="midCat"/>
        <c:majorUnit val="30"/>
      </c:valAx>
      <c:valAx>
        <c:axId val="18870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i="0">
                    <a:solidFill>
                      <a:sysClr val="windowText" lastClr="000000"/>
                    </a:solidFill>
                  </a:rPr>
                  <a:t>Yaw</a:t>
                </a:r>
                <a:r>
                  <a:rPr lang="en-US" sz="1400" i="0" baseline="0">
                    <a:solidFill>
                      <a:sysClr val="windowText" lastClr="000000"/>
                    </a:solidFill>
                  </a:rPr>
                  <a:t> Stability Derivative, </a:t>
                </a:r>
                <a:r>
                  <a:rPr lang="en-US" sz="1400" i="1">
                    <a:solidFill>
                      <a:sysClr val="windowText" lastClr="000000"/>
                    </a:solidFill>
                  </a:rPr>
                  <a:t>C</a:t>
                </a:r>
                <a:r>
                  <a:rPr lang="en-US" sz="1400" i="1" baseline="-25000">
                    <a:solidFill>
                      <a:sysClr val="windowText" lastClr="000000"/>
                    </a:solidFill>
                  </a:rPr>
                  <a:t>n,</a:t>
                </a:r>
                <a:r>
                  <a:rPr lang="el-GR" sz="1400" i="1" baseline="-25000">
                    <a:solidFill>
                      <a:sysClr val="windowText" lastClr="000000"/>
                    </a:solidFill>
                  </a:rPr>
                  <a:t>β</a:t>
                </a:r>
                <a:endParaRPr lang="en-US" sz="1400" i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6.4351598907279447E-3"/>
              <c:y val="0.20987222951297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4056617922759647"/>
          <c:y val="3.1517935258092745E-2"/>
          <c:w val="0.13636938239862872"/>
          <c:h val="7.3538203557888593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282480314960644"/>
          <c:h val="0.88924110450174076"/>
        </c:manualLayout>
      </c:layout>
      <c:barChart>
        <c:barDir val="col"/>
        <c:grouping val="clustered"/>
        <c:varyColors val="0"/>
        <c:ser>
          <c:idx val="0"/>
          <c:order val="0"/>
          <c:tx>
            <c:v>Baseline, 0° Bank</c:v>
          </c:tx>
          <c:spPr>
            <a:solidFill>
              <a:schemeClr val="bg1"/>
            </a:solidFill>
            <a:ln w="19050">
              <a:solidFill>
                <a:schemeClr val="tx1"/>
              </a:solidFill>
              <a:round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7336-43AB-A875-EA7E93BE5B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7336-43AB-A875-EA7E93BE5B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7336-43AB-A875-EA7E93BE5B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7336-43AB-A875-EA7E93BE5B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7336-43AB-A875-EA7E93BE5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HandlingQualities!$A$2:$A$6</c:f>
              <c:strCache>
                <c:ptCount val="5"/>
                <c:pt idx="0">
                  <c:v>Short Period</c:v>
                </c:pt>
                <c:pt idx="1">
                  <c:v>Phugoid</c:v>
                </c:pt>
                <c:pt idx="2">
                  <c:v>Roll</c:v>
                </c:pt>
                <c:pt idx="3">
                  <c:v>Spiral</c:v>
                </c:pt>
                <c:pt idx="4">
                  <c:v>Dutch Roll</c:v>
                </c:pt>
              </c:strCache>
            </c:strRef>
          </c:cat>
          <c:val>
            <c:numRef>
              <c:f>HandlingQualities!$F$2:$F$6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6-43AB-A875-EA7E93BE5B61}"/>
            </c:ext>
          </c:extLst>
        </c:ser>
        <c:ser>
          <c:idx val="1"/>
          <c:order val="1"/>
          <c:tx>
            <c:v>Baseline, 60° Bank</c:v>
          </c:tx>
          <c:spPr>
            <a:pattFill prst="lt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7336-43AB-A875-EA7E93BE5B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7336-43AB-A875-EA7E93BE5B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7336-43AB-A875-EA7E93BE5B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7336-43AB-A875-EA7E93BE5B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7336-43AB-A875-EA7E93BE5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HandlingQualities!$A$2:$A$6</c:f>
              <c:strCache>
                <c:ptCount val="5"/>
                <c:pt idx="0">
                  <c:v>Short Period</c:v>
                </c:pt>
                <c:pt idx="1">
                  <c:v>Phugoid</c:v>
                </c:pt>
                <c:pt idx="2">
                  <c:v>Roll</c:v>
                </c:pt>
                <c:pt idx="3">
                  <c:v>Spiral</c:v>
                </c:pt>
                <c:pt idx="4">
                  <c:v>Dutch Roll</c:v>
                </c:pt>
              </c:strCache>
            </c:strRef>
          </c:cat>
          <c:val>
            <c:numRef>
              <c:f>HandlingQualities!$G$2:$G$6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6-43AB-A875-EA7E93BE5B61}"/>
            </c:ext>
          </c:extLst>
        </c:ser>
        <c:ser>
          <c:idx val="2"/>
          <c:order val="2"/>
          <c:tx>
            <c:v>BIRE, 0° Bank</c:v>
          </c:tx>
          <c:spPr>
            <a:solidFill>
              <a:schemeClr val="tx1"/>
            </a:solidFill>
            <a:ln w="19050"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7336-43AB-A875-EA7E93BE5B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7336-43AB-A875-EA7E93BE5B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7336-43AB-A875-EA7E93BE5B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7336-43AB-A875-EA7E93BE5B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7336-43AB-A875-EA7E93BE5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HandlingQualities!$A$2:$A$6</c:f>
              <c:strCache>
                <c:ptCount val="5"/>
                <c:pt idx="0">
                  <c:v>Short Period</c:v>
                </c:pt>
                <c:pt idx="1">
                  <c:v>Phugoid</c:v>
                </c:pt>
                <c:pt idx="2">
                  <c:v>Roll</c:v>
                </c:pt>
                <c:pt idx="3">
                  <c:v>Spiral</c:v>
                </c:pt>
                <c:pt idx="4">
                  <c:v>Dutch Roll</c:v>
                </c:pt>
              </c:strCache>
            </c:strRef>
          </c:cat>
          <c:val>
            <c:numRef>
              <c:f>HandlingQualities!$H$2:$H$6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6-43AB-A875-EA7E93BE5B61}"/>
            </c:ext>
          </c:extLst>
        </c:ser>
        <c:ser>
          <c:idx val="3"/>
          <c:order val="3"/>
          <c:tx>
            <c:v>BIRE, 60° Bank</c:v>
          </c:tx>
          <c:spPr>
            <a:pattFill prst="ltDnDiag">
              <a:fgClr>
                <a:schemeClr val="tx1">
                  <a:lumMod val="65000"/>
                  <a:lumOff val="35000"/>
                </a:schemeClr>
              </a:fgClr>
              <a:bgClr>
                <a:schemeClr val="tx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7336-43AB-A875-EA7E93BE5B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7336-43AB-A875-EA7E93BE5B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7336-43AB-A875-EA7E93BE5B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7336-43AB-A875-EA7E93BE5B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7336-43AB-A875-EA7E93BE5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HandlingQualities!$A$2:$A$6</c:f>
              <c:strCache>
                <c:ptCount val="5"/>
                <c:pt idx="0">
                  <c:v>Short Period</c:v>
                </c:pt>
                <c:pt idx="1">
                  <c:v>Phugoid</c:v>
                </c:pt>
                <c:pt idx="2">
                  <c:v>Roll</c:v>
                </c:pt>
                <c:pt idx="3">
                  <c:v>Spiral</c:v>
                </c:pt>
                <c:pt idx="4">
                  <c:v>Dutch Roll</c:v>
                </c:pt>
              </c:strCache>
            </c:strRef>
          </c:cat>
          <c:val>
            <c:numRef>
              <c:f>HandlingQualities!$I$2:$I$6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36-43AB-A875-EA7E93BE5B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87072912"/>
        <c:axId val="1887069584"/>
      </c:barChart>
      <c:catAx>
        <c:axId val="188707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Mode</a:t>
                </a:r>
              </a:p>
            </c:rich>
          </c:tx>
          <c:layout>
            <c:manualLayout>
              <c:xMode val="edge"/>
              <c:yMode val="edge"/>
              <c:x val="0.50105741469816278"/>
              <c:y val="0.9534722222222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69584"/>
        <c:crosses val="autoZero"/>
        <c:auto val="1"/>
        <c:lblAlgn val="ctr"/>
        <c:lblOffset val="100"/>
        <c:tickMarkSkip val="1"/>
        <c:noMultiLvlLbl val="0"/>
      </c:catAx>
      <c:valAx>
        <c:axId val="1887069584"/>
        <c:scaling>
          <c:orientation val="minMax"/>
          <c:max val="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Handling Quality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Level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7140201224846892E-3"/>
              <c:y val="0.32329815543890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0687051491571227"/>
          <c:y val="2.9203120443277924E-2"/>
          <c:w val="0.16813558966146219"/>
          <c:h val="0.1319539224263633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869491989410825E-2"/>
          <c:y val="2.3477617465498764E-2"/>
          <c:w val="0.89282480314960644"/>
          <c:h val="0.88924110450174076"/>
        </c:manualLayout>
      </c:layout>
      <c:barChart>
        <c:barDir val="col"/>
        <c:grouping val="clustered"/>
        <c:varyColors val="0"/>
        <c:ser>
          <c:idx val="3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HandlingQualities!$A$2:$A$6</c:f>
              <c:strCache>
                <c:ptCount val="5"/>
                <c:pt idx="0">
                  <c:v>Short Period</c:v>
                </c:pt>
                <c:pt idx="1">
                  <c:v>Phugoid</c:v>
                </c:pt>
                <c:pt idx="2">
                  <c:v>Roll</c:v>
                </c:pt>
                <c:pt idx="3">
                  <c:v>Spiral</c:v>
                </c:pt>
                <c:pt idx="4">
                  <c:v>Dutch Roll</c:v>
                </c:pt>
              </c:strCache>
            </c:strRef>
          </c:cat>
          <c:val>
            <c:numRef>
              <c:f>HandlingQualities!$I$2:$I$6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BC-4850-BF06-84C64D529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7072912"/>
        <c:axId val="1887069584"/>
      </c:barChart>
      <c:catAx>
        <c:axId val="1887072912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low"/>
        <c:crossAx val="1887069584"/>
        <c:crosses val="autoZero"/>
        <c:auto val="1"/>
        <c:lblAlgn val="ctr"/>
        <c:lblOffset val="100"/>
        <c:tickMarkSkip val="1"/>
        <c:noMultiLvlLbl val="0"/>
      </c:catAx>
      <c:valAx>
        <c:axId val="1887069584"/>
        <c:scaling>
          <c:orientation val="maxMin"/>
          <c:max val="5"/>
          <c:min val="1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7072912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64</xdr:row>
      <xdr:rowOff>80960</xdr:rowOff>
    </xdr:from>
    <xdr:to>
      <xdr:col>13</xdr:col>
      <xdr:colOff>79374</xdr:colOff>
      <xdr:row>98</xdr:row>
      <xdr:rowOff>4760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04EF3-30D1-0BD1-6657-7644D3F7F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</xdr:colOff>
      <xdr:row>28</xdr:row>
      <xdr:rowOff>85724</xdr:rowOff>
    </xdr:from>
    <xdr:to>
      <xdr:col>25</xdr:col>
      <xdr:colOff>180975</xdr:colOff>
      <xdr:row>62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DFCCEC-0F36-44A7-BB69-CD2532DC2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400050</xdr:colOff>
      <xdr:row>28</xdr:row>
      <xdr:rowOff>133350</xdr:rowOff>
    </xdr:from>
    <xdr:to>
      <xdr:col>12</xdr:col>
      <xdr:colOff>565150</xdr:colOff>
      <xdr:row>62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36FE8A-A94F-4575-ABE3-DBBDF32B8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0.66491</cdr:x>
      <cdr:y>0.44702</cdr:y>
    </cdr:from>
    <cdr:to>
      <cdr:x>0.73339</cdr:x>
      <cdr:y>0.48774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2F10297-C2F3-F18A-6D7D-29EB05B0DC45}"/>
            </a:ext>
          </a:extLst>
        </cdr:cNvPr>
        <cdr:cNvSpPr/>
      </cdr:nvSpPr>
      <cdr:spPr>
        <a:xfrm xmlns:a="http://schemas.openxmlformats.org/drawingml/2006/main">
          <a:off x="6079922" y="2861306"/>
          <a:ext cx="626181" cy="2606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>
              <a:lumMod val="50000"/>
              <a:lumOff val="50000"/>
            </a:schemeClr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457200</xdr:colOff>
      <xdr:row>76</xdr:row>
      <xdr:rowOff>104775</xdr:rowOff>
    </xdr:from>
    <xdr:to>
      <xdr:col>33</xdr:col>
      <xdr:colOff>98425</xdr:colOff>
      <xdr:row>110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34B27-6325-473E-8131-7B314A844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581025</xdr:colOff>
      <xdr:row>40</xdr:row>
      <xdr:rowOff>57150</xdr:rowOff>
    </xdr:from>
    <xdr:to>
      <xdr:col>34</xdr:col>
      <xdr:colOff>508000</xdr:colOff>
      <xdr:row>73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83BCCE-4ABD-43C4-B2E6-23269EC25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93784</xdr:colOff>
      <xdr:row>53</xdr:row>
      <xdr:rowOff>13921</xdr:rowOff>
    </xdr:from>
    <xdr:to>
      <xdr:col>17</xdr:col>
      <xdr:colOff>455734</xdr:colOff>
      <xdr:row>81</xdr:row>
      <xdr:rowOff>166321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DC3B9-9E21-4819-A05F-925ED924D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101111</xdr:colOff>
      <xdr:row>82</xdr:row>
      <xdr:rowOff>115033</xdr:rowOff>
    </xdr:from>
    <xdr:to>
      <xdr:col>17</xdr:col>
      <xdr:colOff>491636</xdr:colOff>
      <xdr:row>111</xdr:row>
      <xdr:rowOff>76933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194D8F5-99B1-4638-8BAA-41EA53D0BAD7}"/>
            </a:ext>
          </a:extLst>
        </xdr:cNvPr>
        <xdr:cNvGrpSpPr/>
      </xdr:nvGrpSpPr>
      <xdr:grpSpPr>
        <a:xfrm>
          <a:off x="739286" y="15774133"/>
          <a:ext cx="11001375" cy="5486400"/>
          <a:chOff x="438150" y="7315200"/>
          <a:chExt cx="11001375" cy="548640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3ABA3F4-4E95-9D93-7F71-8570F3DF180A}"/>
              </a:ext>
            </a:extLst>
          </xdr:cNvPr>
          <xdr:cNvGraphicFramePr>
            <a:graphicFrameLocks/>
          </xdr:cNvGraphicFramePr>
        </xdr:nvGraphicFramePr>
        <xdr:xfrm>
          <a:off x="438150" y="7315200"/>
          <a:ext cx="10972800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DF95CB4E-7DB4-32B8-17BE-1200E02CCECE}"/>
              </a:ext>
            </a:extLst>
          </xdr:cNvPr>
          <xdr:cNvGraphicFramePr>
            <a:graphicFrameLocks/>
          </xdr:cNvGraphicFramePr>
        </xdr:nvGraphicFramePr>
        <xdr:xfrm>
          <a:off x="6134100" y="7315200"/>
          <a:ext cx="5305425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76841</xdr:colOff>
      <xdr:row>111</xdr:row>
      <xdr:rowOff>138753</xdr:rowOff>
    </xdr:from>
    <xdr:to>
      <xdr:col>17</xdr:col>
      <xdr:colOff>438791</xdr:colOff>
      <xdr:row>140</xdr:row>
      <xdr:rowOff>100653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F0D3FD-675E-441D-8591-4033AA17C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254977</xdr:colOff>
      <xdr:row>142</xdr:row>
      <xdr:rowOff>42496</xdr:rowOff>
    </xdr:from>
    <xdr:to>
      <xdr:col>17</xdr:col>
      <xdr:colOff>616927</xdr:colOff>
      <xdr:row>171</xdr:row>
      <xdr:rowOff>4396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B73C01-CF64-4E3F-90E9-6FC365941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76932</xdr:colOff>
      <xdr:row>24</xdr:row>
      <xdr:rowOff>4396</xdr:rowOff>
    </xdr:from>
    <xdr:to>
      <xdr:col>17</xdr:col>
      <xdr:colOff>438882</xdr:colOff>
      <xdr:row>52</xdr:row>
      <xdr:rowOff>156796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47ADFFD3-9FB7-4316-AE23-B482E9741F15}"/>
            </a:ext>
          </a:extLst>
        </xdr:cNvPr>
        <xdr:cNvGrpSpPr/>
      </xdr:nvGrpSpPr>
      <xdr:grpSpPr>
        <a:xfrm>
          <a:off x="715107" y="4614496"/>
          <a:ext cx="10972800" cy="5486400"/>
          <a:chOff x="685067" y="4620358"/>
          <a:chExt cx="10964008" cy="5486400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25087485-036E-C32B-8600-762B7FA187FB}"/>
              </a:ext>
            </a:extLst>
          </xdr:cNvPr>
          <xdr:cNvGraphicFramePr>
            <a:graphicFrameLocks/>
          </xdr:cNvGraphicFramePr>
        </xdr:nvGraphicFramePr>
        <xdr:xfrm>
          <a:off x="685067" y="4620358"/>
          <a:ext cx="10964008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ED23A90-2CA6-1668-EE85-41D6E8E6AE7F}"/>
              </a:ext>
            </a:extLst>
          </xdr:cNvPr>
          <xdr:cNvSpPr txBox="1"/>
        </xdr:nvSpPr>
        <xdr:spPr>
          <a:xfrm>
            <a:off x="6266351" y="6532869"/>
            <a:ext cx="431528" cy="254493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0.23</a:t>
            </a:r>
          </a:p>
        </xdr:txBody>
      </xdr: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6ED045AF-1D13-BA88-2B58-2B80C9A7B37E}"/>
              </a:ext>
            </a:extLst>
          </xdr:cNvPr>
          <xdr:cNvCxnSpPr>
            <a:stCxn id="12" idx="2"/>
          </xdr:cNvCxnSpPr>
        </xdr:nvCxnSpPr>
        <xdr:spPr>
          <a:xfrm flipH="1">
            <a:off x="6068065" y="6787362"/>
            <a:ext cx="414050" cy="338071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315F9F51-8EE6-6740-1B0E-B0C3A486B88E}"/>
              </a:ext>
            </a:extLst>
          </xdr:cNvPr>
          <xdr:cNvCxnSpPr>
            <a:stCxn id="12" idx="2"/>
          </xdr:cNvCxnSpPr>
        </xdr:nvCxnSpPr>
        <xdr:spPr>
          <a:xfrm flipH="1">
            <a:off x="6172933" y="6787362"/>
            <a:ext cx="309182" cy="360051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CEB8A2C-03B9-50A0-5514-DB24AEAF3740}"/>
              </a:ext>
            </a:extLst>
          </xdr:cNvPr>
          <xdr:cNvSpPr txBox="1"/>
        </xdr:nvSpPr>
        <xdr:spPr>
          <a:xfrm>
            <a:off x="5360011" y="6732894"/>
            <a:ext cx="431528" cy="254493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0.35</a:t>
            </a:r>
          </a:p>
        </xdr:txBody>
      </xdr: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F2AD13FA-0E04-1772-6D78-A40829EDC2F6}"/>
              </a:ext>
            </a:extLst>
          </xdr:cNvPr>
          <xdr:cNvCxnSpPr>
            <a:stCxn id="15" idx="2"/>
          </xdr:cNvCxnSpPr>
        </xdr:nvCxnSpPr>
        <xdr:spPr>
          <a:xfrm>
            <a:off x="5575775" y="6987387"/>
            <a:ext cx="388340" cy="332209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9BA1E4B0-C04D-EA15-574D-2AEE967D93CB}"/>
              </a:ext>
            </a:extLst>
          </xdr:cNvPr>
          <xdr:cNvCxnSpPr>
            <a:endCxn id="15" idx="2"/>
          </xdr:cNvCxnSpPr>
        </xdr:nvCxnSpPr>
        <xdr:spPr>
          <a:xfrm flipH="1" flipV="1">
            <a:off x="5575775" y="6987387"/>
            <a:ext cx="381013" cy="39132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A516C7E6-7D00-2325-66BE-5B77C1DFC2A8}"/>
              </a:ext>
            </a:extLst>
          </xdr:cNvPr>
          <xdr:cNvSpPr txBox="1"/>
        </xdr:nvSpPr>
        <xdr:spPr>
          <a:xfrm>
            <a:off x="6240157" y="7381784"/>
            <a:ext cx="431528" cy="254493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0.38</a:t>
            </a:r>
          </a:p>
        </xdr:txBody>
      </xdr: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3EF09096-CFD4-DCD1-8820-746188B96E15}"/>
              </a:ext>
            </a:extLst>
          </xdr:cNvPr>
          <xdr:cNvCxnSpPr>
            <a:stCxn id="18" idx="0"/>
          </xdr:cNvCxnSpPr>
        </xdr:nvCxnSpPr>
        <xdr:spPr>
          <a:xfrm flipH="1" flipV="1">
            <a:off x="6366181" y="7244495"/>
            <a:ext cx="89740" cy="137289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A64B36CB-22B5-CC67-1164-42679D2C5CF0}"/>
              </a:ext>
            </a:extLst>
          </xdr:cNvPr>
          <xdr:cNvCxnSpPr>
            <a:stCxn id="18" idx="0"/>
          </xdr:cNvCxnSpPr>
        </xdr:nvCxnSpPr>
        <xdr:spPr>
          <a:xfrm flipH="1" flipV="1">
            <a:off x="6145915" y="7256402"/>
            <a:ext cx="310006" cy="125382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35F9C5-5C1C-C3A2-8DB1-4589F56E7AF1}"/>
              </a:ext>
            </a:extLst>
          </xdr:cNvPr>
          <xdr:cNvSpPr txBox="1"/>
        </xdr:nvSpPr>
        <xdr:spPr>
          <a:xfrm>
            <a:off x="5481460" y="7526992"/>
            <a:ext cx="431528" cy="254493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0.24</a:t>
            </a:r>
          </a:p>
        </xdr:txBody>
      </xdr:sp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C5249B37-5542-69E6-0829-5582CE79E144}"/>
              </a:ext>
            </a:extLst>
          </xdr:cNvPr>
          <xdr:cNvCxnSpPr/>
        </xdr:nvCxnSpPr>
        <xdr:spPr>
          <a:xfrm flipV="1">
            <a:off x="5764979" y="7280393"/>
            <a:ext cx="125034" cy="228163"/>
          </a:xfrm>
          <a:prstGeom prst="straightConnector1">
            <a:avLst/>
          </a:prstGeom>
          <a:ln w="6350"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659FA7D6-2805-9908-C5F4-416B33F033A5}"/>
              </a:ext>
            </a:extLst>
          </xdr:cNvPr>
          <xdr:cNvCxnSpPr/>
        </xdr:nvCxnSpPr>
        <xdr:spPr>
          <a:xfrm flipV="1">
            <a:off x="5766838" y="7384989"/>
            <a:ext cx="209550" cy="11906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40928D5D-B61F-9ED8-E39A-5CB23CA10DB4}"/>
              </a:ext>
            </a:extLst>
          </xdr:cNvPr>
          <xdr:cNvCxnSpPr/>
        </xdr:nvCxnSpPr>
        <xdr:spPr>
          <a:xfrm flipV="1">
            <a:off x="6088307" y="7283153"/>
            <a:ext cx="65342" cy="3754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4B60E7BF-4E36-3D79-BEF1-5E3C99924CF5}"/>
              </a:ext>
            </a:extLst>
          </xdr:cNvPr>
          <xdr:cNvCxnSpPr/>
        </xdr:nvCxnSpPr>
        <xdr:spPr>
          <a:xfrm flipV="1">
            <a:off x="6199493" y="7232589"/>
            <a:ext cx="43530" cy="2473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405740</xdr:colOff>
      <xdr:row>37</xdr:row>
      <xdr:rowOff>140097</xdr:rowOff>
    </xdr:from>
    <xdr:to>
      <xdr:col>8</xdr:col>
      <xdr:colOff>419595</xdr:colOff>
      <xdr:row>37</xdr:row>
      <xdr:rowOff>165380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B8E0412-086C-4F9B-80E4-0FF0084143BE}"/>
            </a:ext>
          </a:extLst>
        </xdr:cNvPr>
        <xdr:cNvCxnSpPr/>
      </xdr:nvCxnSpPr>
      <xdr:spPr>
        <a:xfrm flipV="1">
          <a:off x="5911190" y="7226697"/>
          <a:ext cx="13855" cy="25283"/>
        </a:xfrm>
        <a:prstGeom prst="straightConnector1">
          <a:avLst/>
        </a:prstGeom>
        <a:ln w="6350"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593481</xdr:colOff>
      <xdr:row>112</xdr:row>
      <xdr:rowOff>29308</xdr:rowOff>
    </xdr:from>
    <xdr:to>
      <xdr:col>32</xdr:col>
      <xdr:colOff>171451</xdr:colOff>
      <xdr:row>140</xdr:row>
      <xdr:rowOff>181708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AFB5440-01F1-4225-9524-8A220E2DF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0.54968</cdr:x>
      <cdr:y>0.10992</cdr:y>
    </cdr:from>
    <cdr:to>
      <cdr:x>0.76263</cdr:x>
      <cdr:y>0.82721</cdr:y>
    </cdr:to>
    <cdr:grpSp>
      <cdr:nvGrpSpPr>
        <cdr:cNvPr id="23" name="Group 22">
          <a:extLst xmlns:a="http://schemas.openxmlformats.org/drawingml/2006/main">
            <a:ext uri="{FF2B5EF4-FFF2-40B4-BE49-F238E27FC236}">
              <a16:creationId xmlns:a16="http://schemas.microsoft.com/office/drawing/2014/main" id="{B826FA84-82D2-970B-B6B3-B3E88E959047}"/>
            </a:ext>
          </a:extLst>
        </cdr:cNvPr>
        <cdr:cNvGrpSpPr/>
      </cdr:nvGrpSpPr>
      <cdr:grpSpPr>
        <a:xfrm xmlns:a="http://schemas.openxmlformats.org/drawingml/2006/main">
          <a:off x="6031529" y="603065"/>
          <a:ext cx="2336657" cy="3935340"/>
          <a:chOff x="6026659" y="603083"/>
          <a:chExt cx="2334781" cy="3935329"/>
        </a:xfrm>
      </cdr:grpSpPr>
      <cdr:sp macro="" textlink="">
        <cdr:nvSpPr>
          <cdr:cNvPr id="2" name="TextBox 45">
            <a:extLst xmlns:a="http://schemas.openxmlformats.org/drawingml/2006/main">
              <a:ext uri="{FF2B5EF4-FFF2-40B4-BE49-F238E27FC236}">
                <a16:creationId xmlns:a16="http://schemas.microsoft.com/office/drawing/2014/main" id="{60103425-C9DE-68FC-7B62-5C40B896163B}"/>
              </a:ext>
            </a:extLst>
          </cdr:cNvPr>
          <cdr:cNvSpPr txBox="1"/>
        </cdr:nvSpPr>
        <cdr:spPr>
          <a:xfrm xmlns:a="http://schemas.openxmlformats.org/drawingml/2006/main">
            <a:off x="6026659" y="2207389"/>
            <a:ext cx="431182" cy="25449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0.23</a:t>
            </a:r>
          </a:p>
        </cdr:txBody>
      </cdr:sp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DB1B4E36-6E50-1917-7CB0-D5BC860A61C6}"/>
              </a:ext>
            </a:extLst>
          </cdr:cNvPr>
          <cdr:cNvCxnSpPr>
            <a:stCxn xmlns:a="http://schemas.openxmlformats.org/drawingml/2006/main" id="2" idx="3"/>
          </cdr:cNvCxnSpPr>
        </cdr:nvCxnSpPr>
        <cdr:spPr>
          <a:xfrm xmlns:a="http://schemas.openxmlformats.org/drawingml/2006/main" flipV="1">
            <a:off x="6457841" y="2257425"/>
            <a:ext cx="193215" cy="77211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67A8F563-FE75-B6E1-92CD-491066557258}"/>
              </a:ext>
            </a:extLst>
          </cdr:cNvPr>
          <cdr:cNvCxnSpPr>
            <a:stCxn xmlns:a="http://schemas.openxmlformats.org/drawingml/2006/main" id="2" idx="3"/>
          </cdr:cNvCxnSpPr>
        </cdr:nvCxnSpPr>
        <cdr:spPr>
          <a:xfrm xmlns:a="http://schemas.openxmlformats.org/drawingml/2006/main">
            <a:off x="6457841" y="2334636"/>
            <a:ext cx="196471" cy="523596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1" name="TextBox 45">
            <a:extLst xmlns:a="http://schemas.openxmlformats.org/drawingml/2006/main">
              <a:ext uri="{FF2B5EF4-FFF2-40B4-BE49-F238E27FC236}">
                <a16:creationId xmlns:a16="http://schemas.microsoft.com/office/drawing/2014/main" id="{1AD44B9C-5EFB-2686-F403-1709D524551F}"/>
              </a:ext>
            </a:extLst>
          </cdr:cNvPr>
          <cdr:cNvSpPr txBox="1"/>
        </cdr:nvSpPr>
        <cdr:spPr>
          <a:xfrm xmlns:a="http://schemas.openxmlformats.org/drawingml/2006/main">
            <a:off x="7930258" y="2074038"/>
            <a:ext cx="431182" cy="25449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0.27</a:t>
            </a:r>
          </a:p>
        </cdr:txBody>
      </cdr:sp>
      <cdr:cxnSp macro="">
        <cdr:nvCxnSpPr>
          <cdr:cNvPr id="12" name="Straight Arrow Connector 11">
            <a:extLst xmlns:a="http://schemas.openxmlformats.org/drawingml/2006/main">
              <a:ext uri="{FF2B5EF4-FFF2-40B4-BE49-F238E27FC236}">
                <a16:creationId xmlns:a16="http://schemas.microsoft.com/office/drawing/2014/main" id="{58584EED-949C-971F-26C9-190CE92E2F05}"/>
              </a:ext>
            </a:extLst>
          </cdr:cNvPr>
          <cdr:cNvCxnSpPr>
            <a:stCxn xmlns:a="http://schemas.openxmlformats.org/drawingml/2006/main" id="11" idx="1"/>
          </cdr:cNvCxnSpPr>
        </cdr:nvCxnSpPr>
        <cdr:spPr>
          <a:xfrm xmlns:a="http://schemas.openxmlformats.org/drawingml/2006/main" flipH="1" flipV="1">
            <a:off x="7303318" y="603083"/>
            <a:ext cx="626940" cy="1598202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3" name="Straight Arrow Connector 12">
            <a:extLst xmlns:a="http://schemas.openxmlformats.org/drawingml/2006/main">
              <a:ext uri="{FF2B5EF4-FFF2-40B4-BE49-F238E27FC236}">
                <a16:creationId xmlns:a16="http://schemas.microsoft.com/office/drawing/2014/main" id="{7764F37D-68E3-DA07-E95F-D74385F539F5}"/>
              </a:ext>
            </a:extLst>
          </cdr:cNvPr>
          <cdr:cNvCxnSpPr>
            <a:stCxn xmlns:a="http://schemas.openxmlformats.org/drawingml/2006/main" id="11" idx="1"/>
          </cdr:cNvCxnSpPr>
        </cdr:nvCxnSpPr>
        <cdr:spPr>
          <a:xfrm xmlns:a="http://schemas.openxmlformats.org/drawingml/2006/main" flipH="1">
            <a:off x="7308335" y="2201285"/>
            <a:ext cx="621923" cy="2337127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0.73516</cdr:x>
      <cdr:y>0.35799</cdr:y>
    </cdr:from>
    <cdr:to>
      <cdr:x>0.77676</cdr:x>
      <cdr:y>0.45718</cdr:y>
    </cdr:to>
    <cdr:grpSp>
      <cdr:nvGrpSpPr>
        <cdr:cNvPr id="10" name="Group 9">
          <a:extLst xmlns:a="http://schemas.openxmlformats.org/drawingml/2006/main">
            <a:ext uri="{FF2B5EF4-FFF2-40B4-BE49-F238E27FC236}">
              <a16:creationId xmlns:a16="http://schemas.microsoft.com/office/drawing/2014/main" id="{59D99CB0-CE8B-1BEF-E496-A6E7C5F1EB66}"/>
            </a:ext>
          </a:extLst>
        </cdr:cNvPr>
        <cdr:cNvGrpSpPr/>
      </cdr:nvGrpSpPr>
      <cdr:grpSpPr>
        <a:xfrm xmlns:a="http://schemas.openxmlformats.org/drawingml/2006/main">
          <a:off x="8066764" y="1964076"/>
          <a:ext cx="456468" cy="544196"/>
          <a:chOff x="8060317" y="1964083"/>
          <a:chExt cx="456114" cy="544167"/>
        </a:xfrm>
      </cdr:grpSpPr>
      <cdr:sp macro="" textlink="">
        <cdr:nvSpPr>
          <cdr:cNvPr id="2" name="TextBox 45">
            <a:extLst xmlns:a="http://schemas.openxmlformats.org/drawingml/2006/main">
              <a:ext uri="{FF2B5EF4-FFF2-40B4-BE49-F238E27FC236}">
                <a16:creationId xmlns:a16="http://schemas.microsoft.com/office/drawing/2014/main" id="{B0D58E4A-731E-9EFC-CB79-98570B8EF7D2}"/>
              </a:ext>
            </a:extLst>
          </cdr:cNvPr>
          <cdr:cNvSpPr txBox="1"/>
        </cdr:nvSpPr>
        <cdr:spPr>
          <a:xfrm xmlns:a="http://schemas.openxmlformats.org/drawingml/2006/main">
            <a:off x="8060317" y="1964083"/>
            <a:ext cx="431182" cy="25449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0.23</a:t>
            </a:r>
          </a:p>
        </cdr:txBody>
      </cdr:sp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E8DD5FF5-3A2B-2267-95E0-6F1124EF0A1E}"/>
              </a:ext>
            </a:extLst>
          </cdr:cNvPr>
          <cdr:cNvCxnSpPr>
            <a:stCxn xmlns:a="http://schemas.openxmlformats.org/drawingml/2006/main" id="2" idx="2"/>
          </cdr:cNvCxnSpPr>
        </cdr:nvCxnSpPr>
        <cdr:spPr>
          <a:xfrm xmlns:a="http://schemas.openxmlformats.org/drawingml/2006/main">
            <a:off x="8275908" y="2218576"/>
            <a:ext cx="240523" cy="289674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0.72202</cdr:x>
      <cdr:y>0.35665</cdr:y>
    </cdr:from>
    <cdr:to>
      <cdr:x>0.84099</cdr:x>
      <cdr:y>0.57909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69F3E1A-AE7D-F499-C531-9A8A59B15D19}"/>
            </a:ext>
          </a:extLst>
        </cdr:cNvPr>
        <cdr:cNvSpPr/>
      </cdr:nvSpPr>
      <cdr:spPr>
        <a:xfrm xmlns:a="http://schemas.openxmlformats.org/drawingml/2006/main">
          <a:off x="7912253" y="1956747"/>
          <a:ext cx="1303735" cy="12203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bg1">
              <a:lumMod val="85000"/>
            </a:schemeClr>
          </a:solidFill>
          <a:prstDash val="sys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0.71143</cdr:x>
      <cdr:y>0.38282</cdr:y>
    </cdr:from>
    <cdr:to>
      <cdr:x>0.75343</cdr:x>
      <cdr:y>0.48168</cdr:y>
    </cdr:to>
    <cdr:grpSp>
      <cdr:nvGrpSpPr>
        <cdr:cNvPr id="13" name="Group 12">
          <a:extLst xmlns:a="http://schemas.openxmlformats.org/drawingml/2006/main">
            <a:ext uri="{FF2B5EF4-FFF2-40B4-BE49-F238E27FC236}">
              <a16:creationId xmlns:a16="http://schemas.microsoft.com/office/drawing/2014/main" id="{53F596ED-6AE9-6F47-82BD-AB632A05D7FF}"/>
            </a:ext>
          </a:extLst>
        </cdr:cNvPr>
        <cdr:cNvGrpSpPr/>
      </cdr:nvGrpSpPr>
      <cdr:grpSpPr>
        <a:xfrm xmlns:a="http://schemas.openxmlformats.org/drawingml/2006/main">
          <a:off x="7806379" y="2100304"/>
          <a:ext cx="460858" cy="542385"/>
          <a:chOff x="7800104" y="2100317"/>
          <a:chExt cx="460531" cy="542378"/>
        </a:xfrm>
      </cdr:grpSpPr>
      <cdr:sp macro="" textlink="">
        <cdr:nvSpPr>
          <cdr:cNvPr id="2" name="TextBox 45">
            <a:extLst xmlns:a="http://schemas.openxmlformats.org/drawingml/2006/main">
              <a:ext uri="{FF2B5EF4-FFF2-40B4-BE49-F238E27FC236}">
                <a16:creationId xmlns:a16="http://schemas.microsoft.com/office/drawing/2014/main" id="{F3EFF431-2BD7-E863-AE57-1BEBDF065E15}"/>
              </a:ext>
            </a:extLst>
          </cdr:cNvPr>
          <cdr:cNvSpPr txBox="1"/>
        </cdr:nvSpPr>
        <cdr:spPr>
          <a:xfrm xmlns:a="http://schemas.openxmlformats.org/drawingml/2006/main">
            <a:off x="7800104" y="2100317"/>
            <a:ext cx="432262" cy="25449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0.21</a:t>
            </a:r>
          </a:p>
        </cdr:txBody>
      </cdr:sp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AA6B7024-167A-EE69-5635-743FA33F22F6}"/>
              </a:ext>
            </a:extLst>
          </cdr:cNvPr>
          <cdr:cNvCxnSpPr>
            <a:stCxn xmlns:a="http://schemas.openxmlformats.org/drawingml/2006/main" id="2" idx="2"/>
          </cdr:cNvCxnSpPr>
        </cdr:nvCxnSpPr>
        <cdr:spPr>
          <a:xfrm xmlns:a="http://schemas.openxmlformats.org/drawingml/2006/main">
            <a:off x="8016236" y="2354810"/>
            <a:ext cx="231254" cy="57971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F9D573E4-8BE5-F938-6525-B71C2ED9ED13}"/>
              </a:ext>
            </a:extLst>
          </cdr:cNvPr>
          <cdr:cNvCxnSpPr>
            <a:stCxn xmlns:a="http://schemas.openxmlformats.org/drawingml/2006/main" id="2" idx="2"/>
          </cdr:cNvCxnSpPr>
        </cdr:nvCxnSpPr>
        <cdr:spPr>
          <a:xfrm xmlns:a="http://schemas.openxmlformats.org/drawingml/2006/main">
            <a:off x="8016236" y="2354810"/>
            <a:ext cx="244399" cy="287885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0.47358</cdr:x>
      <cdr:y>0.35799</cdr:y>
    </cdr:from>
    <cdr:to>
      <cdr:x>0.51518</cdr:x>
      <cdr:y>0.45718</cdr:y>
    </cdr:to>
    <cdr:grpSp>
      <cdr:nvGrpSpPr>
        <cdr:cNvPr id="10" name="Group 9">
          <a:extLst xmlns:a="http://schemas.openxmlformats.org/drawingml/2006/main">
            <a:ext uri="{FF2B5EF4-FFF2-40B4-BE49-F238E27FC236}">
              <a16:creationId xmlns:a16="http://schemas.microsoft.com/office/drawing/2014/main" id="{59D99CB0-CE8B-1BEF-E496-A6E7C5F1EB66}"/>
            </a:ext>
          </a:extLst>
        </cdr:cNvPr>
        <cdr:cNvGrpSpPr/>
      </cdr:nvGrpSpPr>
      <cdr:grpSpPr>
        <a:xfrm xmlns:a="http://schemas.openxmlformats.org/drawingml/2006/main">
          <a:off x="5190600" y="1964076"/>
          <a:ext cx="455951" cy="544196"/>
          <a:chOff x="8060317" y="1964083"/>
          <a:chExt cx="456114" cy="544167"/>
        </a:xfrm>
      </cdr:grpSpPr>
      <cdr:sp macro="" textlink="">
        <cdr:nvSpPr>
          <cdr:cNvPr id="2" name="TextBox 45">
            <a:extLst xmlns:a="http://schemas.openxmlformats.org/drawingml/2006/main">
              <a:ext uri="{FF2B5EF4-FFF2-40B4-BE49-F238E27FC236}">
                <a16:creationId xmlns:a16="http://schemas.microsoft.com/office/drawing/2014/main" id="{B0D58E4A-731E-9EFC-CB79-98570B8EF7D2}"/>
              </a:ext>
            </a:extLst>
          </cdr:cNvPr>
          <cdr:cNvSpPr txBox="1"/>
        </cdr:nvSpPr>
        <cdr:spPr>
          <a:xfrm xmlns:a="http://schemas.openxmlformats.org/drawingml/2006/main">
            <a:off x="8060317" y="1964083"/>
            <a:ext cx="431182" cy="254493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0.23</a:t>
            </a:r>
          </a:p>
        </cdr:txBody>
      </cdr:sp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E8DD5FF5-3A2B-2267-95E0-6F1124EF0A1E}"/>
              </a:ext>
            </a:extLst>
          </cdr:cNvPr>
          <cdr:cNvCxnSpPr>
            <a:stCxn xmlns:a="http://schemas.openxmlformats.org/drawingml/2006/main" id="2" idx="2"/>
          </cdr:cNvCxnSpPr>
        </cdr:nvCxnSpPr>
        <cdr:spPr>
          <a:xfrm xmlns:a="http://schemas.openxmlformats.org/drawingml/2006/main">
            <a:off x="8275908" y="2218576"/>
            <a:ext cx="240523" cy="289674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93784</xdr:colOff>
      <xdr:row>53</xdr:row>
      <xdr:rowOff>13921</xdr:rowOff>
    </xdr:from>
    <xdr:to>
      <xdr:col>17</xdr:col>
      <xdr:colOff>455734</xdr:colOff>
      <xdr:row>81</xdr:row>
      <xdr:rowOff>166321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4B955-5A9D-422F-8940-A004658B3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101111</xdr:colOff>
      <xdr:row>82</xdr:row>
      <xdr:rowOff>115033</xdr:rowOff>
    </xdr:from>
    <xdr:to>
      <xdr:col>17</xdr:col>
      <xdr:colOff>463061</xdr:colOff>
      <xdr:row>111</xdr:row>
      <xdr:rowOff>76933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FC64C38-2B27-B9F5-03C1-84F0E4775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76841</xdr:colOff>
      <xdr:row>111</xdr:row>
      <xdr:rowOff>138753</xdr:rowOff>
    </xdr:from>
    <xdr:to>
      <xdr:col>17</xdr:col>
      <xdr:colOff>438791</xdr:colOff>
      <xdr:row>140</xdr:row>
      <xdr:rowOff>100653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4C65183-BD9D-F656-22D1-7EDDA29AC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254977</xdr:colOff>
      <xdr:row>142</xdr:row>
      <xdr:rowOff>42496</xdr:rowOff>
    </xdr:from>
    <xdr:to>
      <xdr:col>17</xdr:col>
      <xdr:colOff>616927</xdr:colOff>
      <xdr:row>171</xdr:row>
      <xdr:rowOff>4396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80855A-4214-4126-A4A8-45F7CA51B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496032</xdr:colOff>
      <xdr:row>23</xdr:row>
      <xdr:rowOff>128221</xdr:rowOff>
    </xdr:from>
    <xdr:to>
      <xdr:col>18</xdr:col>
      <xdr:colOff>105507</xdr:colOff>
      <xdr:row>52</xdr:row>
      <xdr:rowOff>90121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1E2D07-88F3-4A32-99BE-E1E99EFC0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53890</xdr:colOff>
      <xdr:row>82</xdr:row>
      <xdr:rowOff>77526</xdr:rowOff>
    </xdr:from>
    <xdr:to>
      <xdr:col>17</xdr:col>
      <xdr:colOff>263440</xdr:colOff>
      <xdr:row>111</xdr:row>
      <xdr:rowOff>39426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63C25E-690D-4D85-8D7A-99E7006BE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560242</xdr:colOff>
      <xdr:row>111</xdr:row>
      <xdr:rowOff>63212</xdr:rowOff>
    </xdr:from>
    <xdr:to>
      <xdr:col>16</xdr:col>
      <xdr:colOff>636442</xdr:colOff>
      <xdr:row>140</xdr:row>
      <xdr:rowOff>25112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E42B3C-B182-4127-B334-6BD8E16D1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0.47676</cdr:x>
      <cdr:y>0.38252</cdr:y>
    </cdr:from>
    <cdr:to>
      <cdr:x>0.52906</cdr:x>
      <cdr:y>0.45753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1EF6A080-DA44-EB38-CFDE-EDE6D57EE672}"/>
            </a:ext>
          </a:extLst>
        </cdr:cNvPr>
        <cdr:cNvGrpSpPr/>
      </cdr:nvGrpSpPr>
      <cdr:grpSpPr>
        <a:xfrm xmlns:a="http://schemas.openxmlformats.org/drawingml/2006/main">
          <a:off x="5250795" y="2098658"/>
          <a:ext cx="576006" cy="411535"/>
          <a:chOff x="-151424" y="0"/>
          <a:chExt cx="571055" cy="411506"/>
        </a:xfrm>
      </cdr:grpSpPr>
      <cdr:sp macro="" textlink="">
        <cdr:nvSpPr>
          <cdr:cNvPr id="3" name="TextBox 45">
            <a:extLst xmlns:a="http://schemas.openxmlformats.org/drawingml/2006/main">
              <a:ext uri="{FF2B5EF4-FFF2-40B4-BE49-F238E27FC236}">
                <a16:creationId xmlns:a16="http://schemas.microsoft.com/office/drawing/2014/main" id="{E3BA0819-B033-D81C-B13A-016564D7390B}"/>
              </a:ext>
            </a:extLst>
          </cdr:cNvPr>
          <cdr:cNvSpPr txBox="1"/>
        </cdr:nvSpPr>
        <cdr:spPr>
          <a:xfrm xmlns:a="http://schemas.openxmlformats.org/drawingml/2006/main">
            <a:off x="-151424" y="0"/>
            <a:ext cx="571055" cy="254479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0.4064</a:t>
            </a:r>
          </a:p>
        </cdr:txBody>
      </cdr:sp>
      <cdr:cxnSp macro="">
        <cdr:nvCxnSpPr>
          <cdr:cNvPr id="4" name="Straight Arrow Connector 3">
            <a:extLst xmlns:a="http://schemas.openxmlformats.org/drawingml/2006/main">
              <a:ext uri="{FF2B5EF4-FFF2-40B4-BE49-F238E27FC236}">
                <a16:creationId xmlns:a16="http://schemas.microsoft.com/office/drawing/2014/main" id="{17C65CB6-D805-3189-D072-E80ABAE7EE1D}"/>
              </a:ext>
            </a:extLst>
          </cdr:cNvPr>
          <cdr:cNvCxnSpPr>
            <a:stCxn xmlns:a="http://schemas.openxmlformats.org/drawingml/2006/main" id="3" idx="2"/>
          </cdr:cNvCxnSpPr>
        </cdr:nvCxnSpPr>
        <cdr:spPr>
          <a:xfrm xmlns:a="http://schemas.openxmlformats.org/drawingml/2006/main">
            <a:off x="134103" y="254479"/>
            <a:ext cx="175034" cy="157027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0.53161</cdr:x>
      <cdr:y>0.38108</cdr:y>
    </cdr:from>
    <cdr:to>
      <cdr:x>0.59383</cdr:x>
      <cdr:y>0.4586</cdr:y>
    </cdr:to>
    <cdr:grpSp>
      <cdr:nvGrpSpPr>
        <cdr:cNvPr id="5" name="Group 4">
          <a:extLst xmlns:a="http://schemas.openxmlformats.org/drawingml/2006/main">
            <a:ext uri="{FF2B5EF4-FFF2-40B4-BE49-F238E27FC236}">
              <a16:creationId xmlns:a16="http://schemas.microsoft.com/office/drawing/2014/main" id="{1EF6A080-DA44-EB38-CFDE-EDE6D57EE672}"/>
            </a:ext>
          </a:extLst>
        </cdr:cNvPr>
        <cdr:cNvGrpSpPr/>
      </cdr:nvGrpSpPr>
      <cdr:grpSpPr>
        <a:xfrm xmlns:a="http://schemas.openxmlformats.org/drawingml/2006/main">
          <a:off x="5854885" y="2090757"/>
          <a:ext cx="685260" cy="425306"/>
          <a:chOff x="-155349" y="-730210"/>
          <a:chExt cx="679317" cy="425305"/>
        </a:xfrm>
      </cdr:grpSpPr>
      <cdr:sp macro="" textlink="">
        <cdr:nvSpPr>
          <cdr:cNvPr id="6" name="TextBox 45">
            <a:extLst xmlns:a="http://schemas.openxmlformats.org/drawingml/2006/main">
              <a:ext uri="{FF2B5EF4-FFF2-40B4-BE49-F238E27FC236}">
                <a16:creationId xmlns:a16="http://schemas.microsoft.com/office/drawing/2014/main" id="{E3BA0819-B033-D81C-B13A-016564D7390B}"/>
              </a:ext>
            </a:extLst>
          </cdr:cNvPr>
          <cdr:cNvSpPr txBox="1"/>
        </cdr:nvSpPr>
        <cdr:spPr>
          <a:xfrm xmlns:a="http://schemas.openxmlformats.org/drawingml/2006/main">
            <a:off x="-44027" y="-730210"/>
            <a:ext cx="567995" cy="254479"/>
          </a:xfrm>
          <a:prstGeom xmlns:a="http://schemas.openxmlformats.org/drawingml/2006/main" prst="rect">
            <a:avLst/>
          </a:prstGeom>
          <a:solidFill xmlns:a="http://schemas.openxmlformats.org/drawingml/2006/main">
            <a:sysClr val="window" lastClr="FFFFFF"/>
          </a:solidFill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0.4250</a:t>
            </a:r>
          </a:p>
        </cdr:txBody>
      </cdr:sp>
      <cdr:cxnSp macro="">
        <cdr:nvCxnSpPr>
          <cdr:cNvPr id="7" name="Straight Arrow Connector 6">
            <a:extLst xmlns:a="http://schemas.openxmlformats.org/drawingml/2006/main">
              <a:ext uri="{FF2B5EF4-FFF2-40B4-BE49-F238E27FC236}">
                <a16:creationId xmlns:a16="http://schemas.microsoft.com/office/drawing/2014/main" id="{17C65CB6-D805-3189-D072-E80ABAE7EE1D}"/>
              </a:ext>
            </a:extLst>
          </cdr:cNvPr>
          <cdr:cNvCxnSpPr>
            <a:stCxn xmlns:a="http://schemas.openxmlformats.org/drawingml/2006/main" id="6" idx="2"/>
          </cdr:cNvCxnSpPr>
        </cdr:nvCxnSpPr>
        <cdr:spPr>
          <a:xfrm xmlns:a="http://schemas.openxmlformats.org/drawingml/2006/main" flipH="1">
            <a:off x="-155349" y="-475731"/>
            <a:ext cx="395320" cy="170826"/>
          </a:xfrm>
          <a:prstGeom xmlns:a="http://schemas.openxmlformats.org/drawingml/2006/main" prst="straightConnector1">
            <a:avLst/>
          </a:prstGeom>
          <a:ln xmlns:a="http://schemas.openxmlformats.org/drawingml/2006/main" w="6350">
            <a:headEnd type="none" w="med" len="med"/>
            <a:tailEnd type="none" w="med" len="med"/>
          </a:ln>
        </cdr:spPr>
        <cdr:style>
          <a:lnRef xmlns:a="http://schemas.openxmlformats.org/drawingml/2006/main" idx="1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0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2</xdr:row>
      <xdr:rowOff>0</xdr:rowOff>
    </xdr:from>
    <xdr:to>
      <xdr:col>23</xdr:col>
      <xdr:colOff>95250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7D7CE-61E7-4339-8059-4744C8D07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552450</xdr:colOff>
      <xdr:row>30</xdr:row>
      <xdr:rowOff>171450</xdr:rowOff>
    </xdr:from>
    <xdr:to>
      <xdr:col>23</xdr:col>
      <xdr:colOff>133350</xdr:colOff>
      <xdr:row>59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010D65-931C-4C04-90C7-6EA19FAD6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542925</xdr:colOff>
      <xdr:row>60</xdr:row>
      <xdr:rowOff>19050</xdr:rowOff>
    </xdr:from>
    <xdr:to>
      <xdr:col>23</xdr:col>
      <xdr:colOff>123825</xdr:colOff>
      <xdr:row>88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2C82CC-8195-4B9A-A3AB-963A95F58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139483</xdr:colOff>
      <xdr:row>6</xdr:row>
      <xdr:rowOff>75278</xdr:rowOff>
    </xdr:from>
    <xdr:to>
      <xdr:col>23</xdr:col>
      <xdr:colOff>142894</xdr:colOff>
      <xdr:row>35</xdr:row>
      <xdr:rowOff>37599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187B6F0F-74FC-C74F-2D4F-935BBD497382}"/>
            </a:ext>
          </a:extLst>
        </xdr:cNvPr>
        <xdr:cNvGrpSpPr/>
      </xdr:nvGrpSpPr>
      <xdr:grpSpPr>
        <a:xfrm>
          <a:off x="5233287" y="1218278"/>
          <a:ext cx="9197107" cy="5486821"/>
          <a:chOff x="4340679" y="1713437"/>
          <a:chExt cx="9186565" cy="5487463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2A431E1A-6E26-497E-BBA7-CB34576AF848}"/>
              </a:ext>
            </a:extLst>
          </xdr:cNvPr>
          <xdr:cNvGraphicFramePr>
            <a:graphicFrameLocks/>
          </xdr:cNvGraphicFramePr>
        </xdr:nvGraphicFramePr>
        <xdr:xfrm>
          <a:off x="4340679" y="1714500"/>
          <a:ext cx="9184821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7E80936-D776-4EF8-B0F9-FB7769743BF9}"/>
              </a:ext>
            </a:extLst>
          </xdr:cNvPr>
          <xdr:cNvGraphicFramePr>
            <a:graphicFrameLocks/>
          </xdr:cNvGraphicFramePr>
        </xdr:nvGraphicFramePr>
        <xdr:xfrm>
          <a:off x="4342423" y="1713437"/>
          <a:ext cx="9184821" cy="548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7</xdr:col>
      <xdr:colOff>419100</xdr:colOff>
      <xdr:row>34</xdr:row>
      <xdr:rowOff>152400</xdr:rowOff>
    </xdr:from>
    <xdr:to>
      <xdr:col>7</xdr:col>
      <xdr:colOff>604837</xdr:colOff>
      <xdr:row>35</xdr:row>
      <xdr:rowOff>119063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7065E80-6845-1E29-C593-9BB000216575}"/>
            </a:ext>
          </a:extLst>
        </xdr:cNvPr>
        <xdr:cNvSpPr/>
      </xdr:nvSpPr>
      <xdr:spPr>
        <a:xfrm>
          <a:off x="4876800" y="6629400"/>
          <a:ext cx="185737" cy="157163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37AC-04EB-44F8-ADFC-05425DF530FC}">
  <dimension ref="A1:K238"/>
  <sheetViews>
    <sheetView workbookViewId="0">
      <selection activeCell="E18" sqref="E18"/>
    </sheetView>
  </sheetViews>
  <sheetFormatPr defaultColWidth="20.7109375" defaultRowHeight="14.25" x14ac:dyDescent="0.2"/>
  <cols>
    <col min="1" max="1" width="14.28515625" style="1" bestFit="1" customWidth="1"/>
    <col min="2" max="2" width="92.85546875" style="1" bestFit="1" customWidth="1"/>
    <col min="3" max="3" width="8.140625" style="1" customWidth="1"/>
    <col min="4" max="4" width="7.85546875" style="1" customWidth="1"/>
    <col min="5" max="5" width="92.85546875" style="1" bestFit="1" customWidth="1"/>
    <col min="6" max="6" width="7.28515625" style="1" customWidth="1"/>
    <col min="7" max="7" width="92.85546875" style="1" bestFit="1" customWidth="1"/>
    <col min="8" max="8" width="6.5703125" style="1" customWidth="1"/>
    <col min="9" max="9" width="6.28515625" style="1" customWidth="1"/>
    <col min="10" max="10" width="92.85546875" style="1" bestFit="1" customWidth="1"/>
    <col min="11" max="11" width="6" style="1" customWidth="1"/>
    <col min="12" max="16384" width="20.7109375" style="1"/>
  </cols>
  <sheetData>
    <row r="1" spans="1:11" x14ac:dyDescent="0.2">
      <c r="A1" s="1" t="s">
        <v>190</v>
      </c>
      <c r="B1" s="1" t="s">
        <v>189</v>
      </c>
      <c r="C1" s="1" t="s">
        <v>189</v>
      </c>
      <c r="D1" s="1" t="s">
        <v>189</v>
      </c>
      <c r="E1" s="1" t="s">
        <v>189</v>
      </c>
      <c r="F1" s="1" t="s">
        <v>189</v>
      </c>
      <c r="G1" s="1" t="s">
        <v>751</v>
      </c>
      <c r="H1" s="1" t="s">
        <v>751</v>
      </c>
      <c r="I1" s="1" t="s">
        <v>751</v>
      </c>
      <c r="J1" s="1" t="s">
        <v>751</v>
      </c>
      <c r="K1" s="1" t="s">
        <v>751</v>
      </c>
    </row>
    <row r="2" spans="1:11" s="2" customFormat="1" x14ac:dyDescent="0.2">
      <c r="A2" s="2" t="s">
        <v>191</v>
      </c>
      <c r="B2" s="2">
        <v>0</v>
      </c>
      <c r="C2" s="2">
        <v>20</v>
      </c>
      <c r="D2" s="2">
        <v>40</v>
      </c>
      <c r="E2" s="2">
        <v>60</v>
      </c>
      <c r="F2" s="2">
        <v>80</v>
      </c>
      <c r="G2" s="2">
        <v>0</v>
      </c>
      <c r="H2" s="2">
        <v>20</v>
      </c>
      <c r="I2" s="2">
        <v>40</v>
      </c>
      <c r="J2" s="2">
        <v>60</v>
      </c>
      <c r="K2" s="2">
        <v>80</v>
      </c>
    </row>
    <row r="3" spans="1:11" s="2" customFormat="1" x14ac:dyDescent="0.2">
      <c r="A3" s="2" t="s">
        <v>1671</v>
      </c>
      <c r="B3" s="7" t="s">
        <v>1688</v>
      </c>
      <c r="G3" s="9" t="s">
        <v>1695</v>
      </c>
    </row>
    <row r="4" spans="1:11" x14ac:dyDescent="0.2">
      <c r="A4" s="1" t="s">
        <v>192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</row>
    <row r="5" spans="1:11" x14ac:dyDescent="0.2">
      <c r="B5" s="1" t="s">
        <v>1</v>
      </c>
      <c r="C5" s="1" t="s">
        <v>193</v>
      </c>
      <c r="D5" s="1" t="s">
        <v>193</v>
      </c>
      <c r="E5" s="1" t="s">
        <v>381</v>
      </c>
      <c r="F5" s="1" t="s">
        <v>567</v>
      </c>
      <c r="G5" s="1" t="s">
        <v>752</v>
      </c>
      <c r="H5" s="1" t="s">
        <v>939</v>
      </c>
      <c r="I5" s="1" t="s">
        <v>1121</v>
      </c>
      <c r="J5" s="1" t="s">
        <v>1303</v>
      </c>
      <c r="K5" s="1" t="s">
        <v>1489</v>
      </c>
    </row>
    <row r="6" spans="1:11" x14ac:dyDescent="0.2">
      <c r="A6" s="1" t="s">
        <v>1672</v>
      </c>
      <c r="B6" s="1" t="s">
        <v>2</v>
      </c>
      <c r="C6" s="1" t="s">
        <v>194</v>
      </c>
      <c r="D6" s="1" t="s">
        <v>194</v>
      </c>
      <c r="E6" s="1" t="s">
        <v>382</v>
      </c>
      <c r="F6" s="1" t="s">
        <v>568</v>
      </c>
      <c r="G6" s="1" t="s">
        <v>753</v>
      </c>
      <c r="H6" s="1" t="s">
        <v>940</v>
      </c>
      <c r="I6" s="1" t="s">
        <v>1122</v>
      </c>
      <c r="J6" s="1" t="s">
        <v>1304</v>
      </c>
      <c r="K6" s="1" t="s">
        <v>1490</v>
      </c>
    </row>
    <row r="7" spans="1:11" x14ac:dyDescent="0.2">
      <c r="A7" s="1" t="s">
        <v>1673</v>
      </c>
      <c r="B7" s="1" t="s">
        <v>3</v>
      </c>
      <c r="C7" s="3" t="s">
        <v>195</v>
      </c>
      <c r="D7" s="3" t="s">
        <v>195</v>
      </c>
      <c r="E7" s="3" t="s">
        <v>383</v>
      </c>
      <c r="F7" s="3" t="s">
        <v>569</v>
      </c>
      <c r="G7" s="3" t="s">
        <v>754</v>
      </c>
      <c r="H7" s="3" t="s">
        <v>941</v>
      </c>
      <c r="I7" s="3" t="s">
        <v>1123</v>
      </c>
      <c r="J7" s="3" t="s">
        <v>1305</v>
      </c>
      <c r="K7" s="3" t="s">
        <v>1491</v>
      </c>
    </row>
    <row r="8" spans="1:11" x14ac:dyDescent="0.2">
      <c r="A8" s="3" t="s">
        <v>1674</v>
      </c>
      <c r="B8" s="3" t="s">
        <v>4</v>
      </c>
      <c r="C8" s="1" t="s">
        <v>196</v>
      </c>
      <c r="D8" s="1" t="s">
        <v>196</v>
      </c>
      <c r="E8" s="1" t="s">
        <v>384</v>
      </c>
      <c r="F8" s="1" t="s">
        <v>570</v>
      </c>
      <c r="G8" s="1" t="s">
        <v>755</v>
      </c>
      <c r="H8" s="1" t="s">
        <v>942</v>
      </c>
      <c r="I8" s="1" t="s">
        <v>1124</v>
      </c>
      <c r="J8" s="1" t="s">
        <v>1306</v>
      </c>
      <c r="K8" s="1" t="s">
        <v>1492</v>
      </c>
    </row>
    <row r="9" spans="1:11" x14ac:dyDescent="0.2">
      <c r="A9" s="1" t="s">
        <v>1675</v>
      </c>
      <c r="B9" s="1" t="s">
        <v>5</v>
      </c>
      <c r="C9" s="1" t="s">
        <v>197</v>
      </c>
      <c r="D9" s="1" t="s">
        <v>197</v>
      </c>
      <c r="E9" s="1" t="s">
        <v>385</v>
      </c>
      <c r="F9" s="1" t="s">
        <v>571</v>
      </c>
      <c r="G9" s="1" t="s">
        <v>756</v>
      </c>
      <c r="H9" s="1" t="s">
        <v>943</v>
      </c>
      <c r="I9" s="1" t="s">
        <v>1125</v>
      </c>
      <c r="J9" s="1" t="s">
        <v>1307</v>
      </c>
      <c r="K9" s="1" t="s">
        <v>1493</v>
      </c>
    </row>
    <row r="10" spans="1:11" x14ac:dyDescent="0.2">
      <c r="A10" s="3" t="s">
        <v>1676</v>
      </c>
      <c r="B10" s="3" t="s">
        <v>6</v>
      </c>
      <c r="C10" s="1" t="s">
        <v>198</v>
      </c>
      <c r="D10" s="1" t="s">
        <v>198</v>
      </c>
      <c r="E10" s="1" t="s">
        <v>386</v>
      </c>
      <c r="F10" s="1" t="s">
        <v>572</v>
      </c>
      <c r="G10" s="1" t="s">
        <v>757</v>
      </c>
      <c r="H10" s="1" t="s">
        <v>944</v>
      </c>
      <c r="I10" s="1" t="s">
        <v>1126</v>
      </c>
      <c r="J10" s="1" t="s">
        <v>1308</v>
      </c>
      <c r="K10" s="1" t="s">
        <v>1494</v>
      </c>
    </row>
    <row r="11" spans="1:11" x14ac:dyDescent="0.2">
      <c r="A11" s="1" t="s">
        <v>1677</v>
      </c>
      <c r="B11" s="1" t="s">
        <v>7</v>
      </c>
      <c r="C11" s="1" t="s">
        <v>199</v>
      </c>
      <c r="D11" s="1" t="s">
        <v>199</v>
      </c>
      <c r="E11" s="1" t="s">
        <v>387</v>
      </c>
      <c r="F11" s="1" t="s">
        <v>573</v>
      </c>
      <c r="G11" s="1" t="s">
        <v>758</v>
      </c>
      <c r="H11" s="1" t="s">
        <v>945</v>
      </c>
      <c r="I11" s="1" t="s">
        <v>1127</v>
      </c>
      <c r="J11" s="1" t="s">
        <v>1309</v>
      </c>
      <c r="K11" s="1" t="s">
        <v>1495</v>
      </c>
    </row>
    <row r="12" spans="1:11" x14ac:dyDescent="0.2">
      <c r="A12" s="1" t="s">
        <v>1678</v>
      </c>
      <c r="B12" s="1" t="s">
        <v>8</v>
      </c>
      <c r="C12" s="1" t="s">
        <v>200</v>
      </c>
      <c r="D12" s="1" t="s">
        <v>200</v>
      </c>
      <c r="E12" s="1" t="s">
        <v>388</v>
      </c>
      <c r="F12" s="1" t="s">
        <v>574</v>
      </c>
      <c r="G12" s="1" t="s">
        <v>759</v>
      </c>
      <c r="H12" s="1" t="s">
        <v>946</v>
      </c>
      <c r="I12" s="1" t="s">
        <v>1128</v>
      </c>
      <c r="J12" s="1" t="s">
        <v>1310</v>
      </c>
      <c r="K12" s="1" t="s">
        <v>1496</v>
      </c>
    </row>
    <row r="13" spans="1:11" x14ac:dyDescent="0.2">
      <c r="A13" s="1" t="s">
        <v>1679</v>
      </c>
      <c r="B13" s="1" t="s">
        <v>9</v>
      </c>
      <c r="C13" s="1" t="s">
        <v>201</v>
      </c>
      <c r="D13" s="1" t="s">
        <v>201</v>
      </c>
      <c r="E13" s="1" t="s">
        <v>389</v>
      </c>
      <c r="F13" s="1" t="s">
        <v>575</v>
      </c>
      <c r="G13" s="3" t="s">
        <v>760</v>
      </c>
      <c r="H13" s="1" t="s">
        <v>947</v>
      </c>
      <c r="I13" s="1" t="s">
        <v>1129</v>
      </c>
      <c r="J13" s="1" t="s">
        <v>1311</v>
      </c>
      <c r="K13" s="1" t="s">
        <v>1497</v>
      </c>
    </row>
    <row r="14" spans="1:11" x14ac:dyDescent="0.2">
      <c r="A14" s="3" t="s">
        <v>1680</v>
      </c>
      <c r="B14" s="3" t="s">
        <v>10</v>
      </c>
      <c r="C14" s="1" t="s">
        <v>202</v>
      </c>
      <c r="D14" s="1" t="s">
        <v>202</v>
      </c>
      <c r="E14" s="1" t="s">
        <v>390</v>
      </c>
      <c r="F14" s="1" t="s">
        <v>576</v>
      </c>
      <c r="G14" s="1" t="s">
        <v>761</v>
      </c>
      <c r="H14" s="1" t="s">
        <v>948</v>
      </c>
      <c r="I14" s="1" t="s">
        <v>1130</v>
      </c>
      <c r="J14" s="1" t="s">
        <v>1312</v>
      </c>
      <c r="K14" s="1" t="s">
        <v>1498</v>
      </c>
    </row>
    <row r="15" spans="1:11" x14ac:dyDescent="0.2">
      <c r="A15" s="1" t="s">
        <v>1681</v>
      </c>
      <c r="B15" s="1" t="s">
        <v>11</v>
      </c>
      <c r="C15" s="1" t="s">
        <v>203</v>
      </c>
      <c r="D15" s="1" t="s">
        <v>203</v>
      </c>
      <c r="E15" s="1" t="s">
        <v>391</v>
      </c>
      <c r="F15" s="1" t="s">
        <v>577</v>
      </c>
      <c r="G15" s="1" t="s">
        <v>762</v>
      </c>
      <c r="H15" s="1" t="s">
        <v>949</v>
      </c>
      <c r="I15" s="1" t="s">
        <v>1131</v>
      </c>
      <c r="J15" s="1" t="s">
        <v>1313</v>
      </c>
      <c r="K15" s="1" t="s">
        <v>1499</v>
      </c>
    </row>
    <row r="16" spans="1:11" x14ac:dyDescent="0.2">
      <c r="A16" s="3" t="s">
        <v>1682</v>
      </c>
      <c r="B16" s="3" t="s">
        <v>12</v>
      </c>
      <c r="C16" s="1" t="s">
        <v>204</v>
      </c>
      <c r="D16" s="1" t="s">
        <v>204</v>
      </c>
      <c r="E16" s="1" t="s">
        <v>392</v>
      </c>
      <c r="F16" s="1" t="s">
        <v>578</v>
      </c>
      <c r="G16" s="1" t="s">
        <v>763</v>
      </c>
      <c r="H16" s="1" t="s">
        <v>950</v>
      </c>
      <c r="I16" s="1" t="s">
        <v>1132</v>
      </c>
      <c r="J16" s="1" t="s">
        <v>1314</v>
      </c>
      <c r="K16" s="1" t="s">
        <v>1500</v>
      </c>
    </row>
    <row r="17" spans="1:11" x14ac:dyDescent="0.2">
      <c r="A17" s="1" t="s">
        <v>1683</v>
      </c>
      <c r="B17" s="1" t="s">
        <v>13</v>
      </c>
      <c r="C17" s="1" t="s">
        <v>205</v>
      </c>
      <c r="D17" s="1" t="s">
        <v>205</v>
      </c>
      <c r="E17" s="1" t="s">
        <v>393</v>
      </c>
      <c r="F17" s="1" t="s">
        <v>579</v>
      </c>
      <c r="G17" s="3" t="s">
        <v>764</v>
      </c>
      <c r="H17" s="1" t="s">
        <v>951</v>
      </c>
      <c r="I17" s="1" t="s">
        <v>1133</v>
      </c>
      <c r="J17" s="1" t="s">
        <v>1315</v>
      </c>
      <c r="K17" s="1" t="s">
        <v>1501</v>
      </c>
    </row>
    <row r="18" spans="1:11" x14ac:dyDescent="0.2">
      <c r="B18" s="1" t="s">
        <v>14</v>
      </c>
      <c r="C18" s="1" t="s">
        <v>206</v>
      </c>
      <c r="D18" s="1" t="s">
        <v>206</v>
      </c>
      <c r="E18" s="1" t="s">
        <v>394</v>
      </c>
      <c r="F18" s="1" t="s">
        <v>580</v>
      </c>
      <c r="G18" s="1" t="s">
        <v>765</v>
      </c>
      <c r="H18" s="1" t="s">
        <v>952</v>
      </c>
      <c r="I18" s="1" t="s">
        <v>1134</v>
      </c>
      <c r="J18" s="1" t="s">
        <v>1316</v>
      </c>
      <c r="K18" s="1" t="s">
        <v>1502</v>
      </c>
    </row>
    <row r="19" spans="1:11" x14ac:dyDescent="0.2">
      <c r="B19" s="1" t="s">
        <v>15</v>
      </c>
      <c r="C19" s="1" t="s">
        <v>207</v>
      </c>
      <c r="D19" s="1" t="s">
        <v>207</v>
      </c>
      <c r="E19" s="1" t="s">
        <v>395</v>
      </c>
      <c r="F19" s="1" t="s">
        <v>581</v>
      </c>
      <c r="G19" s="1" t="s">
        <v>766</v>
      </c>
      <c r="H19" s="1" t="s">
        <v>953</v>
      </c>
      <c r="I19" s="1" t="s">
        <v>1135</v>
      </c>
      <c r="J19" s="1" t="s">
        <v>1317</v>
      </c>
      <c r="K19" s="1" t="s">
        <v>1503</v>
      </c>
    </row>
    <row r="20" spans="1:11" x14ac:dyDescent="0.2">
      <c r="A20" s="1" t="s">
        <v>1671</v>
      </c>
      <c r="B20" s="6" t="s">
        <v>1687</v>
      </c>
      <c r="G20" s="1" t="s">
        <v>767</v>
      </c>
      <c r="H20" s="1" t="s">
        <v>954</v>
      </c>
      <c r="I20" s="1" t="s">
        <v>1136</v>
      </c>
      <c r="J20" s="1" t="s">
        <v>1318</v>
      </c>
      <c r="K20" s="1" t="s">
        <v>1504</v>
      </c>
    </row>
    <row r="21" spans="1:11" x14ac:dyDescent="0.2"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768</v>
      </c>
      <c r="H21" s="1" t="s">
        <v>955</v>
      </c>
      <c r="I21" s="1" t="s">
        <v>1137</v>
      </c>
      <c r="J21" s="1" t="s">
        <v>1319</v>
      </c>
      <c r="K21" s="1" t="s">
        <v>1505</v>
      </c>
    </row>
    <row r="22" spans="1:11" x14ac:dyDescent="0.2">
      <c r="B22" s="1" t="s">
        <v>16</v>
      </c>
      <c r="C22" s="1" t="s">
        <v>208</v>
      </c>
      <c r="D22" s="1" t="s">
        <v>208</v>
      </c>
      <c r="E22" s="1" t="s">
        <v>396</v>
      </c>
      <c r="F22" s="1" t="s">
        <v>582</v>
      </c>
      <c r="G22" s="1" t="s">
        <v>63</v>
      </c>
      <c r="H22" s="1" t="s">
        <v>63</v>
      </c>
      <c r="I22" s="1" t="s">
        <v>63</v>
      </c>
      <c r="J22" s="1" t="s">
        <v>63</v>
      </c>
      <c r="K22" s="1" t="s">
        <v>63</v>
      </c>
    </row>
    <row r="23" spans="1:11" x14ac:dyDescent="0.2">
      <c r="A23" s="1" t="s">
        <v>1672</v>
      </c>
      <c r="B23" s="1" t="s">
        <v>17</v>
      </c>
      <c r="C23" s="1" t="s">
        <v>209</v>
      </c>
      <c r="D23" s="1" t="s">
        <v>209</v>
      </c>
      <c r="E23" s="1" t="s">
        <v>397</v>
      </c>
      <c r="F23" s="1" t="s">
        <v>583</v>
      </c>
      <c r="G23" s="1" t="s">
        <v>769</v>
      </c>
      <c r="H23" s="1" t="s">
        <v>956</v>
      </c>
      <c r="I23" s="1" t="s">
        <v>1138</v>
      </c>
      <c r="J23" s="1" t="s">
        <v>1320</v>
      </c>
      <c r="K23" s="1" t="s">
        <v>1506</v>
      </c>
    </row>
    <row r="24" spans="1:11" x14ac:dyDescent="0.2">
      <c r="A24" s="3" t="s">
        <v>1673</v>
      </c>
      <c r="B24" s="3" t="s">
        <v>18</v>
      </c>
      <c r="C24" s="1" t="s">
        <v>210</v>
      </c>
      <c r="D24" s="1" t="s">
        <v>210</v>
      </c>
      <c r="E24" s="1" t="s">
        <v>398</v>
      </c>
      <c r="F24" s="1" t="s">
        <v>584</v>
      </c>
      <c r="G24" s="9" t="s">
        <v>1695</v>
      </c>
    </row>
    <row r="25" spans="1:11" x14ac:dyDescent="0.2">
      <c r="A25" s="1" t="s">
        <v>1674</v>
      </c>
      <c r="B25" s="1" t="s">
        <v>19</v>
      </c>
      <c r="C25" s="3" t="s">
        <v>211</v>
      </c>
      <c r="D25" s="3" t="s">
        <v>211</v>
      </c>
      <c r="E25" s="3" t="s">
        <v>399</v>
      </c>
      <c r="F25" s="3" t="s">
        <v>585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</row>
    <row r="26" spans="1:11" x14ac:dyDescent="0.2">
      <c r="A26" s="3" t="s">
        <v>1675</v>
      </c>
      <c r="B26" s="3" t="s">
        <v>20</v>
      </c>
      <c r="C26" s="1" t="s">
        <v>212</v>
      </c>
      <c r="D26" s="1" t="s">
        <v>212</v>
      </c>
      <c r="E26" s="1" t="s">
        <v>400</v>
      </c>
      <c r="F26" s="1" t="s">
        <v>586</v>
      </c>
      <c r="G26" s="1" t="s">
        <v>770</v>
      </c>
      <c r="H26" s="1" t="s">
        <v>957</v>
      </c>
      <c r="I26" s="1" t="s">
        <v>1139</v>
      </c>
      <c r="J26" s="1" t="s">
        <v>1321</v>
      </c>
      <c r="K26" s="1" t="s">
        <v>1507</v>
      </c>
    </row>
    <row r="27" spans="1:11" x14ac:dyDescent="0.2">
      <c r="A27" s="1" t="s">
        <v>1676</v>
      </c>
      <c r="B27" s="1" t="s">
        <v>21</v>
      </c>
      <c r="C27" s="1" t="s">
        <v>213</v>
      </c>
      <c r="D27" s="1" t="s">
        <v>213</v>
      </c>
      <c r="E27" s="1" t="s">
        <v>401</v>
      </c>
      <c r="F27" s="1" t="s">
        <v>587</v>
      </c>
      <c r="G27" s="1" t="s">
        <v>771</v>
      </c>
      <c r="H27" s="1" t="s">
        <v>958</v>
      </c>
      <c r="I27" s="1" t="s">
        <v>1140</v>
      </c>
      <c r="J27" s="1" t="s">
        <v>1322</v>
      </c>
      <c r="K27" s="1" t="s">
        <v>1508</v>
      </c>
    </row>
    <row r="28" spans="1:11" x14ac:dyDescent="0.2">
      <c r="A28" s="1" t="s">
        <v>1677</v>
      </c>
      <c r="B28" s="1" t="s">
        <v>22</v>
      </c>
      <c r="C28" s="1" t="s">
        <v>214</v>
      </c>
      <c r="D28" s="1" t="s">
        <v>214</v>
      </c>
      <c r="E28" s="1" t="s">
        <v>402</v>
      </c>
      <c r="F28" s="1" t="s">
        <v>588</v>
      </c>
      <c r="G28" s="3" t="s">
        <v>772</v>
      </c>
      <c r="H28" s="3" t="s">
        <v>959</v>
      </c>
      <c r="I28" s="3" t="s">
        <v>1141</v>
      </c>
      <c r="J28" s="3" t="s">
        <v>1323</v>
      </c>
      <c r="K28" s="3" t="s">
        <v>1509</v>
      </c>
    </row>
    <row r="29" spans="1:11" x14ac:dyDescent="0.2">
      <c r="A29" s="1" t="s">
        <v>1678</v>
      </c>
      <c r="B29" s="1" t="s">
        <v>23</v>
      </c>
      <c r="C29" s="1" t="s">
        <v>215</v>
      </c>
      <c r="D29" s="1" t="s">
        <v>215</v>
      </c>
      <c r="E29" s="1" t="s">
        <v>403</v>
      </c>
      <c r="F29" s="1" t="s">
        <v>589</v>
      </c>
      <c r="G29" s="1" t="s">
        <v>773</v>
      </c>
      <c r="H29" s="1" t="s">
        <v>960</v>
      </c>
      <c r="I29" s="1" t="s">
        <v>1142</v>
      </c>
      <c r="J29" s="1" t="s">
        <v>1324</v>
      </c>
      <c r="K29" s="1" t="s">
        <v>1510</v>
      </c>
    </row>
    <row r="30" spans="1:11" x14ac:dyDescent="0.2">
      <c r="A30" s="3" t="s">
        <v>1679</v>
      </c>
      <c r="B30" s="3" t="s">
        <v>24</v>
      </c>
      <c r="C30" s="1" t="s">
        <v>216</v>
      </c>
      <c r="D30" s="1" t="s">
        <v>216</v>
      </c>
      <c r="E30" s="1" t="s">
        <v>404</v>
      </c>
      <c r="F30" s="1" t="s">
        <v>590</v>
      </c>
      <c r="G30" s="1" t="s">
        <v>774</v>
      </c>
      <c r="H30" s="1" t="s">
        <v>961</v>
      </c>
      <c r="I30" s="1" t="s">
        <v>1143</v>
      </c>
      <c r="J30" s="1" t="s">
        <v>1325</v>
      </c>
      <c r="K30" s="1" t="s">
        <v>1511</v>
      </c>
    </row>
    <row r="31" spans="1:11" x14ac:dyDescent="0.2">
      <c r="A31" s="1" t="s">
        <v>1680</v>
      </c>
      <c r="B31" s="1" t="s">
        <v>25</v>
      </c>
      <c r="C31" s="1" t="s">
        <v>217</v>
      </c>
      <c r="D31" s="1" t="s">
        <v>217</v>
      </c>
      <c r="E31" s="1" t="s">
        <v>405</v>
      </c>
      <c r="F31" s="1" t="s">
        <v>591</v>
      </c>
      <c r="G31" s="1" t="s">
        <v>775</v>
      </c>
      <c r="H31" s="1" t="s">
        <v>962</v>
      </c>
      <c r="I31" s="1" t="s">
        <v>1144</v>
      </c>
      <c r="J31" s="1" t="s">
        <v>1326</v>
      </c>
      <c r="K31" s="1" t="s">
        <v>1512</v>
      </c>
    </row>
    <row r="32" spans="1:11" x14ac:dyDescent="0.2">
      <c r="A32" s="3" t="s">
        <v>1681</v>
      </c>
      <c r="B32" s="3" t="s">
        <v>26</v>
      </c>
      <c r="C32" s="1" t="s">
        <v>218</v>
      </c>
      <c r="D32" s="1" t="s">
        <v>218</v>
      </c>
      <c r="E32" s="1" t="s">
        <v>406</v>
      </c>
      <c r="F32" s="1" t="s">
        <v>592</v>
      </c>
      <c r="G32" s="1" t="s">
        <v>776</v>
      </c>
      <c r="H32" s="1" t="s">
        <v>963</v>
      </c>
      <c r="I32" s="1" t="s">
        <v>1145</v>
      </c>
      <c r="J32" s="1" t="s">
        <v>1327</v>
      </c>
      <c r="K32" s="1" t="s">
        <v>1513</v>
      </c>
    </row>
    <row r="33" spans="1:11" x14ac:dyDescent="0.2">
      <c r="A33" s="1" t="s">
        <v>1682</v>
      </c>
      <c r="B33" s="1" t="s">
        <v>27</v>
      </c>
      <c r="C33" s="1" t="s">
        <v>219</v>
      </c>
      <c r="D33" s="1" t="s">
        <v>219</v>
      </c>
      <c r="E33" s="1" t="s">
        <v>407</v>
      </c>
      <c r="F33" s="1" t="s">
        <v>593</v>
      </c>
      <c r="G33" s="1" t="s">
        <v>777</v>
      </c>
      <c r="H33" s="1" t="s">
        <v>964</v>
      </c>
      <c r="I33" s="1" t="s">
        <v>1146</v>
      </c>
      <c r="J33" s="1" t="s">
        <v>1328</v>
      </c>
      <c r="K33" s="1" t="s">
        <v>1514</v>
      </c>
    </row>
    <row r="34" spans="1:11" x14ac:dyDescent="0.2">
      <c r="A34" s="1" t="s">
        <v>1683</v>
      </c>
      <c r="B34" s="1" t="s">
        <v>28</v>
      </c>
      <c r="C34" s="1" t="s">
        <v>220</v>
      </c>
      <c r="D34" s="1" t="s">
        <v>220</v>
      </c>
      <c r="E34" s="1" t="s">
        <v>408</v>
      </c>
      <c r="F34" s="1" t="s">
        <v>594</v>
      </c>
      <c r="G34" s="3" t="s">
        <v>778</v>
      </c>
      <c r="H34" s="1" t="s">
        <v>965</v>
      </c>
      <c r="I34" s="1" t="s">
        <v>1147</v>
      </c>
      <c r="J34" s="1" t="s">
        <v>1329</v>
      </c>
      <c r="K34" s="1" t="s">
        <v>1515</v>
      </c>
    </row>
    <row r="35" spans="1:11" x14ac:dyDescent="0.2">
      <c r="B35" s="1" t="s">
        <v>29</v>
      </c>
      <c r="C35" s="1" t="s">
        <v>221</v>
      </c>
      <c r="D35" s="1" t="s">
        <v>221</v>
      </c>
      <c r="E35" s="1" t="s">
        <v>409</v>
      </c>
      <c r="F35" s="1" t="s">
        <v>595</v>
      </c>
      <c r="G35" s="1" t="s">
        <v>779</v>
      </c>
      <c r="H35" s="1" t="s">
        <v>966</v>
      </c>
      <c r="I35" s="1" t="s">
        <v>1148</v>
      </c>
      <c r="J35" s="1" t="s">
        <v>1330</v>
      </c>
      <c r="K35" s="1" t="s">
        <v>1516</v>
      </c>
    </row>
    <row r="36" spans="1:11" x14ac:dyDescent="0.2">
      <c r="B36" s="1" t="s">
        <v>30</v>
      </c>
      <c r="C36" s="1" t="s">
        <v>222</v>
      </c>
      <c r="D36" s="1" t="s">
        <v>222</v>
      </c>
      <c r="E36" s="1" t="s">
        <v>410</v>
      </c>
      <c r="F36" s="1" t="s">
        <v>596</v>
      </c>
      <c r="G36" s="1" t="s">
        <v>780</v>
      </c>
      <c r="H36" s="1" t="s">
        <v>967</v>
      </c>
      <c r="I36" s="1" t="s">
        <v>1149</v>
      </c>
      <c r="J36" s="1" t="s">
        <v>1331</v>
      </c>
      <c r="K36" s="1" t="s">
        <v>1517</v>
      </c>
    </row>
    <row r="37" spans="1:11" x14ac:dyDescent="0.2">
      <c r="A37" s="1" t="s">
        <v>1671</v>
      </c>
      <c r="B37" s="10" t="s">
        <v>1694</v>
      </c>
      <c r="G37" s="1" t="s">
        <v>781</v>
      </c>
      <c r="H37" s="1" t="s">
        <v>968</v>
      </c>
      <c r="I37" s="1" t="s">
        <v>1150</v>
      </c>
      <c r="J37" s="1" t="s">
        <v>1332</v>
      </c>
      <c r="K37" s="1" t="s">
        <v>1518</v>
      </c>
    </row>
    <row r="38" spans="1:11" x14ac:dyDescent="0.2"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3" t="s">
        <v>782</v>
      </c>
      <c r="H38" s="1" t="s">
        <v>969</v>
      </c>
      <c r="I38" s="1" t="s">
        <v>1151</v>
      </c>
      <c r="J38" s="1" t="s">
        <v>1333</v>
      </c>
      <c r="K38" s="1" t="s">
        <v>1519</v>
      </c>
    </row>
    <row r="39" spans="1:11" x14ac:dyDescent="0.2">
      <c r="B39" s="1" t="s">
        <v>31</v>
      </c>
      <c r="C39" s="1" t="s">
        <v>223</v>
      </c>
      <c r="D39" s="1" t="s">
        <v>223</v>
      </c>
      <c r="E39" s="1" t="s">
        <v>411</v>
      </c>
      <c r="F39" s="1" t="s">
        <v>597</v>
      </c>
      <c r="G39" s="1" t="s">
        <v>765</v>
      </c>
      <c r="H39" s="1" t="s">
        <v>952</v>
      </c>
      <c r="I39" s="1" t="s">
        <v>1134</v>
      </c>
      <c r="J39" s="1" t="s">
        <v>1316</v>
      </c>
      <c r="K39" s="1" t="s">
        <v>1502</v>
      </c>
    </row>
    <row r="40" spans="1:11" x14ac:dyDescent="0.2">
      <c r="A40" s="1" t="s">
        <v>1672</v>
      </c>
      <c r="B40" s="1" t="s">
        <v>32</v>
      </c>
      <c r="C40" s="1" t="s">
        <v>224</v>
      </c>
      <c r="D40" s="1" t="s">
        <v>224</v>
      </c>
      <c r="E40" s="1" t="s">
        <v>412</v>
      </c>
      <c r="F40" s="1" t="s">
        <v>598</v>
      </c>
      <c r="G40" s="1" t="s">
        <v>766</v>
      </c>
      <c r="H40" s="1" t="s">
        <v>953</v>
      </c>
      <c r="I40" s="1" t="s">
        <v>1135</v>
      </c>
      <c r="J40" s="1" t="s">
        <v>1317</v>
      </c>
      <c r="K40" s="1" t="s">
        <v>1503</v>
      </c>
    </row>
    <row r="41" spans="1:11" x14ac:dyDescent="0.2">
      <c r="A41" s="1" t="s">
        <v>1673</v>
      </c>
      <c r="B41" s="1" t="s">
        <v>33</v>
      </c>
      <c r="C41" s="1" t="s">
        <v>225</v>
      </c>
      <c r="D41" s="1" t="s">
        <v>225</v>
      </c>
      <c r="E41" s="1" t="s">
        <v>413</v>
      </c>
      <c r="F41" s="3" t="s">
        <v>599</v>
      </c>
      <c r="G41" s="1" t="s">
        <v>767</v>
      </c>
      <c r="H41" s="1" t="s">
        <v>954</v>
      </c>
      <c r="I41" s="1" t="s">
        <v>1136</v>
      </c>
      <c r="J41" s="1" t="s">
        <v>1318</v>
      </c>
      <c r="K41" s="1" t="s">
        <v>1504</v>
      </c>
    </row>
    <row r="42" spans="1:11" x14ac:dyDescent="0.2">
      <c r="A42" s="3" t="s">
        <v>1674</v>
      </c>
      <c r="B42" s="3" t="s">
        <v>34</v>
      </c>
      <c r="C42" s="3" t="s">
        <v>226</v>
      </c>
      <c r="D42" s="3" t="s">
        <v>226</v>
      </c>
      <c r="E42" s="3" t="s">
        <v>414</v>
      </c>
      <c r="F42" s="1" t="s">
        <v>600</v>
      </c>
      <c r="G42" s="1" t="s">
        <v>783</v>
      </c>
      <c r="H42" s="1" t="s">
        <v>970</v>
      </c>
      <c r="I42" s="1" t="s">
        <v>1152</v>
      </c>
      <c r="J42" s="1" t="s">
        <v>1334</v>
      </c>
      <c r="K42" s="1" t="s">
        <v>1520</v>
      </c>
    </row>
    <row r="43" spans="1:11" x14ac:dyDescent="0.2">
      <c r="A43" s="1" t="s">
        <v>1675</v>
      </c>
      <c r="B43" s="1" t="s">
        <v>35</v>
      </c>
      <c r="C43" s="1" t="s">
        <v>227</v>
      </c>
      <c r="D43" s="1" t="s">
        <v>227</v>
      </c>
      <c r="E43" s="1" t="s">
        <v>415</v>
      </c>
      <c r="F43" s="1" t="s">
        <v>601</v>
      </c>
      <c r="G43" s="1" t="s">
        <v>79</v>
      </c>
      <c r="H43" s="1" t="s">
        <v>79</v>
      </c>
      <c r="I43" s="1" t="s">
        <v>79</v>
      </c>
      <c r="J43" s="1" t="s">
        <v>79</v>
      </c>
      <c r="K43" s="1" t="s">
        <v>79</v>
      </c>
    </row>
    <row r="44" spans="1:11" x14ac:dyDescent="0.2">
      <c r="A44" s="3" t="s">
        <v>1676</v>
      </c>
      <c r="B44" s="3" t="s">
        <v>36</v>
      </c>
      <c r="C44" s="1" t="s">
        <v>228</v>
      </c>
      <c r="D44" s="1" t="s">
        <v>228</v>
      </c>
      <c r="E44" s="1" t="s">
        <v>416</v>
      </c>
      <c r="F44" s="1" t="s">
        <v>602</v>
      </c>
      <c r="G44" s="1" t="s">
        <v>769</v>
      </c>
      <c r="H44" s="1" t="s">
        <v>956</v>
      </c>
      <c r="I44" s="1" t="s">
        <v>1138</v>
      </c>
      <c r="J44" s="1" t="s">
        <v>1320</v>
      </c>
      <c r="K44" s="1" t="s">
        <v>1506</v>
      </c>
    </row>
    <row r="45" spans="1:11" x14ac:dyDescent="0.2">
      <c r="A45" s="1" t="s">
        <v>1677</v>
      </c>
      <c r="B45" s="1" t="s">
        <v>37</v>
      </c>
      <c r="C45" s="1" t="s">
        <v>229</v>
      </c>
      <c r="D45" s="1" t="s">
        <v>229</v>
      </c>
      <c r="E45" s="1" t="s">
        <v>417</v>
      </c>
      <c r="F45" s="1" t="s">
        <v>603</v>
      </c>
      <c r="G45" s="8" t="s">
        <v>1689</v>
      </c>
    </row>
    <row r="46" spans="1:11" x14ac:dyDescent="0.2">
      <c r="A46" s="1" t="s">
        <v>1678</v>
      </c>
      <c r="B46" s="1" t="s">
        <v>38</v>
      </c>
      <c r="C46" s="1" t="s">
        <v>230</v>
      </c>
      <c r="D46" s="1" t="s">
        <v>230</v>
      </c>
      <c r="E46" s="1" t="s">
        <v>418</v>
      </c>
      <c r="F46" s="1" t="s">
        <v>604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</row>
    <row r="47" spans="1:11" x14ac:dyDescent="0.2">
      <c r="A47" s="1" t="s">
        <v>1679</v>
      </c>
      <c r="B47" s="1" t="s">
        <v>39</v>
      </c>
      <c r="C47" s="1" t="s">
        <v>231</v>
      </c>
      <c r="D47" s="1" t="s">
        <v>231</v>
      </c>
      <c r="E47" s="1" t="s">
        <v>419</v>
      </c>
      <c r="F47" s="1" t="s">
        <v>605</v>
      </c>
      <c r="G47" s="1" t="s">
        <v>784</v>
      </c>
      <c r="H47" s="1" t="s">
        <v>971</v>
      </c>
      <c r="I47" s="1" t="s">
        <v>1153</v>
      </c>
      <c r="J47" s="1" t="s">
        <v>1335</v>
      </c>
      <c r="K47" s="1" t="s">
        <v>1521</v>
      </c>
    </row>
    <row r="48" spans="1:11" x14ac:dyDescent="0.2">
      <c r="A48" s="3" t="s">
        <v>1680</v>
      </c>
      <c r="B48" s="3" t="s">
        <v>40</v>
      </c>
      <c r="C48" s="1" t="s">
        <v>232</v>
      </c>
      <c r="D48" s="1" t="s">
        <v>232</v>
      </c>
      <c r="E48" s="1" t="s">
        <v>420</v>
      </c>
      <c r="F48" s="1" t="s">
        <v>606</v>
      </c>
      <c r="G48" s="1" t="s">
        <v>785</v>
      </c>
      <c r="H48" s="1" t="s">
        <v>972</v>
      </c>
      <c r="I48" s="1" t="s">
        <v>1154</v>
      </c>
      <c r="J48" s="1" t="s">
        <v>1336</v>
      </c>
      <c r="K48" s="1" t="s">
        <v>1522</v>
      </c>
    </row>
    <row r="49" spans="1:11" x14ac:dyDescent="0.2">
      <c r="A49" s="1" t="s">
        <v>1681</v>
      </c>
      <c r="B49" s="1" t="s">
        <v>41</v>
      </c>
      <c r="C49" s="1" t="s">
        <v>233</v>
      </c>
      <c r="D49" s="1" t="s">
        <v>233</v>
      </c>
      <c r="E49" s="1" t="s">
        <v>421</v>
      </c>
      <c r="F49" s="1" t="s">
        <v>607</v>
      </c>
      <c r="G49" s="1" t="s">
        <v>786</v>
      </c>
      <c r="H49" s="1" t="s">
        <v>973</v>
      </c>
      <c r="I49" s="1" t="s">
        <v>1155</v>
      </c>
      <c r="J49" s="1" t="s">
        <v>1337</v>
      </c>
      <c r="K49" s="1" t="s">
        <v>1523</v>
      </c>
    </row>
    <row r="50" spans="1:11" x14ac:dyDescent="0.2">
      <c r="A50" s="3" t="s">
        <v>1682</v>
      </c>
      <c r="B50" s="3" t="s">
        <v>42</v>
      </c>
      <c r="C50" s="1" t="s">
        <v>234</v>
      </c>
      <c r="D50" s="1" t="s">
        <v>234</v>
      </c>
      <c r="E50" s="1" t="s">
        <v>422</v>
      </c>
      <c r="F50" s="1" t="s">
        <v>608</v>
      </c>
      <c r="G50" s="3" t="s">
        <v>787</v>
      </c>
      <c r="H50" s="3" t="s">
        <v>974</v>
      </c>
      <c r="I50" s="3" t="s">
        <v>1156</v>
      </c>
      <c r="J50" s="3" t="s">
        <v>1338</v>
      </c>
      <c r="K50" s="3" t="s">
        <v>1524</v>
      </c>
    </row>
    <row r="51" spans="1:11" x14ac:dyDescent="0.2">
      <c r="A51" s="1" t="s">
        <v>1683</v>
      </c>
      <c r="B51" s="1" t="s">
        <v>43</v>
      </c>
      <c r="C51" s="1" t="s">
        <v>235</v>
      </c>
      <c r="D51" s="1" t="s">
        <v>235</v>
      </c>
      <c r="E51" s="1" t="s">
        <v>423</v>
      </c>
      <c r="F51" s="1" t="s">
        <v>609</v>
      </c>
      <c r="G51" s="1" t="s">
        <v>788</v>
      </c>
      <c r="H51" s="1" t="s">
        <v>975</v>
      </c>
      <c r="I51" s="1" t="s">
        <v>1157</v>
      </c>
      <c r="J51" s="1" t="s">
        <v>1339</v>
      </c>
      <c r="K51" s="1" t="s">
        <v>1525</v>
      </c>
    </row>
    <row r="52" spans="1:11" x14ac:dyDescent="0.2">
      <c r="B52" s="1" t="s">
        <v>44</v>
      </c>
      <c r="C52" s="1" t="s">
        <v>236</v>
      </c>
      <c r="D52" s="1" t="s">
        <v>236</v>
      </c>
      <c r="E52" s="1" t="s">
        <v>424</v>
      </c>
      <c r="F52" s="1" t="s">
        <v>610</v>
      </c>
      <c r="G52" s="1" t="s">
        <v>789</v>
      </c>
      <c r="H52" s="1" t="s">
        <v>976</v>
      </c>
      <c r="I52" s="1" t="s">
        <v>1158</v>
      </c>
      <c r="J52" s="1" t="s">
        <v>1340</v>
      </c>
      <c r="K52" s="1" t="s">
        <v>1526</v>
      </c>
    </row>
    <row r="53" spans="1:11" x14ac:dyDescent="0.2">
      <c r="B53" s="1" t="s">
        <v>45</v>
      </c>
      <c r="C53" s="1" t="s">
        <v>237</v>
      </c>
      <c r="D53" s="1" t="s">
        <v>237</v>
      </c>
      <c r="E53" s="1" t="s">
        <v>425</v>
      </c>
      <c r="F53" s="1" t="s">
        <v>611</v>
      </c>
      <c r="G53" s="1" t="s">
        <v>790</v>
      </c>
      <c r="H53" s="1" t="s">
        <v>977</v>
      </c>
      <c r="I53" s="1" t="s">
        <v>1159</v>
      </c>
      <c r="J53" s="1" t="s">
        <v>1341</v>
      </c>
      <c r="K53" s="1" t="s">
        <v>1527</v>
      </c>
    </row>
    <row r="54" spans="1:11" x14ac:dyDescent="0.2">
      <c r="A54" s="1" t="s">
        <v>1671</v>
      </c>
      <c r="B54" s="11" t="s">
        <v>1693</v>
      </c>
      <c r="F54" s="1" t="s">
        <v>612</v>
      </c>
      <c r="G54" s="1" t="s">
        <v>791</v>
      </c>
      <c r="H54" s="1" t="s">
        <v>978</v>
      </c>
      <c r="I54" s="1" t="s">
        <v>1160</v>
      </c>
      <c r="J54" s="1" t="s">
        <v>1342</v>
      </c>
      <c r="K54" s="1" t="s">
        <v>1528</v>
      </c>
    </row>
    <row r="55" spans="1:11" x14ac:dyDescent="0.2">
      <c r="B55" s="1" t="s">
        <v>0</v>
      </c>
      <c r="C55" s="1" t="s">
        <v>0</v>
      </c>
      <c r="D55" s="1" t="s">
        <v>0</v>
      </c>
      <c r="E55" s="1" t="s">
        <v>0</v>
      </c>
      <c r="F55" s="1" t="s">
        <v>613</v>
      </c>
      <c r="G55" s="1" t="s">
        <v>792</v>
      </c>
      <c r="H55" s="1" t="s">
        <v>979</v>
      </c>
      <c r="I55" s="1" t="s">
        <v>1161</v>
      </c>
      <c r="J55" s="1" t="s">
        <v>1343</v>
      </c>
      <c r="K55" s="1" t="s">
        <v>1529</v>
      </c>
    </row>
    <row r="56" spans="1:11" x14ac:dyDescent="0.2">
      <c r="B56" s="1" t="s">
        <v>46</v>
      </c>
      <c r="C56" s="1" t="s">
        <v>238</v>
      </c>
      <c r="D56" s="1" t="s">
        <v>238</v>
      </c>
      <c r="E56" s="1" t="s">
        <v>426</v>
      </c>
      <c r="F56" s="1" t="s">
        <v>63</v>
      </c>
      <c r="G56" s="3" t="s">
        <v>793</v>
      </c>
      <c r="H56" s="1" t="s">
        <v>980</v>
      </c>
      <c r="I56" s="1" t="s">
        <v>1162</v>
      </c>
      <c r="J56" s="1" t="s">
        <v>1344</v>
      </c>
      <c r="K56" s="1" t="s">
        <v>1530</v>
      </c>
    </row>
    <row r="57" spans="1:11" x14ac:dyDescent="0.2">
      <c r="A57" s="1" t="s">
        <v>1672</v>
      </c>
      <c r="B57" s="1" t="s">
        <v>47</v>
      </c>
      <c r="C57" s="1" t="s">
        <v>239</v>
      </c>
      <c r="D57" s="1" t="s">
        <v>239</v>
      </c>
      <c r="E57" s="1" t="s">
        <v>427</v>
      </c>
      <c r="F57" s="1" t="s">
        <v>614</v>
      </c>
      <c r="G57" s="1" t="s">
        <v>794</v>
      </c>
      <c r="H57" s="1" t="s">
        <v>981</v>
      </c>
      <c r="I57" s="1" t="s">
        <v>1163</v>
      </c>
      <c r="J57" s="1" t="s">
        <v>1345</v>
      </c>
      <c r="K57" s="1" t="s">
        <v>1531</v>
      </c>
    </row>
    <row r="58" spans="1:11" x14ac:dyDescent="0.2">
      <c r="A58" s="3" t="s">
        <v>1673</v>
      </c>
      <c r="B58" s="3" t="s">
        <v>48</v>
      </c>
      <c r="C58" s="3" t="s">
        <v>240</v>
      </c>
      <c r="D58" s="3" t="s">
        <v>240</v>
      </c>
      <c r="E58" s="3" t="s">
        <v>428</v>
      </c>
      <c r="G58" s="1" t="s">
        <v>795</v>
      </c>
      <c r="H58" s="1" t="s">
        <v>982</v>
      </c>
      <c r="I58" s="1" t="s">
        <v>1164</v>
      </c>
      <c r="J58" s="1" t="s">
        <v>1346</v>
      </c>
      <c r="K58" s="1" t="s">
        <v>1532</v>
      </c>
    </row>
    <row r="59" spans="1:11" x14ac:dyDescent="0.2">
      <c r="A59" s="1" t="s">
        <v>1674</v>
      </c>
      <c r="B59" s="1" t="s">
        <v>49</v>
      </c>
      <c r="C59" s="1" t="s">
        <v>241</v>
      </c>
      <c r="D59" s="1" t="s">
        <v>241</v>
      </c>
      <c r="E59" s="1" t="s">
        <v>429</v>
      </c>
      <c r="F59" s="1" t="s">
        <v>0</v>
      </c>
      <c r="G59" s="1" t="s">
        <v>796</v>
      </c>
      <c r="H59" s="1" t="s">
        <v>983</v>
      </c>
      <c r="I59" s="1" t="s">
        <v>1165</v>
      </c>
      <c r="J59" s="1" t="s">
        <v>1347</v>
      </c>
      <c r="K59" s="1" t="s">
        <v>1533</v>
      </c>
    </row>
    <row r="60" spans="1:11" x14ac:dyDescent="0.2">
      <c r="A60" s="3" t="s">
        <v>1675</v>
      </c>
      <c r="B60" s="3" t="s">
        <v>50</v>
      </c>
      <c r="C60" s="1" t="s">
        <v>242</v>
      </c>
      <c r="D60" s="1" t="s">
        <v>242</v>
      </c>
      <c r="E60" s="1" t="s">
        <v>430</v>
      </c>
      <c r="F60" s="1" t="s">
        <v>615</v>
      </c>
      <c r="G60" s="1" t="s">
        <v>797</v>
      </c>
      <c r="H60" s="1" t="s">
        <v>984</v>
      </c>
      <c r="I60" s="1" t="s">
        <v>1166</v>
      </c>
      <c r="J60" s="1" t="s">
        <v>1348</v>
      </c>
      <c r="K60" s="1" t="s">
        <v>1534</v>
      </c>
    </row>
    <row r="61" spans="1:11" x14ac:dyDescent="0.2">
      <c r="A61" s="1" t="s">
        <v>1676</v>
      </c>
      <c r="B61" s="1" t="s">
        <v>51</v>
      </c>
      <c r="C61" s="1" t="s">
        <v>243</v>
      </c>
      <c r="D61" s="1" t="s">
        <v>243</v>
      </c>
      <c r="E61" s="1" t="s">
        <v>431</v>
      </c>
      <c r="F61" s="1" t="s">
        <v>616</v>
      </c>
      <c r="G61" s="1" t="s">
        <v>798</v>
      </c>
      <c r="H61" s="1" t="s">
        <v>985</v>
      </c>
      <c r="I61" s="1" t="s">
        <v>1167</v>
      </c>
      <c r="J61" s="1" t="s">
        <v>1349</v>
      </c>
      <c r="K61" s="1" t="s">
        <v>1535</v>
      </c>
    </row>
    <row r="62" spans="1:11" x14ac:dyDescent="0.2">
      <c r="A62" s="1" t="s">
        <v>1677</v>
      </c>
      <c r="B62" s="1" t="s">
        <v>52</v>
      </c>
      <c r="C62" s="1" t="s">
        <v>244</v>
      </c>
      <c r="D62" s="1" t="s">
        <v>244</v>
      </c>
      <c r="E62" s="1" t="s">
        <v>432</v>
      </c>
      <c r="F62" s="3" t="s">
        <v>617</v>
      </c>
      <c r="G62" s="6" t="s">
        <v>1690</v>
      </c>
    </row>
    <row r="63" spans="1:11" x14ac:dyDescent="0.2">
      <c r="A63" s="1" t="s">
        <v>1678</v>
      </c>
      <c r="B63" s="1" t="s">
        <v>53</v>
      </c>
      <c r="C63" s="1" t="s">
        <v>245</v>
      </c>
      <c r="D63" s="1" t="s">
        <v>245</v>
      </c>
      <c r="E63" s="1" t="s">
        <v>433</v>
      </c>
      <c r="F63" s="1" t="s">
        <v>618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</row>
    <row r="64" spans="1:11" x14ac:dyDescent="0.2">
      <c r="A64" s="3" t="s">
        <v>1679</v>
      </c>
      <c r="B64" s="3" t="s">
        <v>54</v>
      </c>
      <c r="C64" s="1" t="s">
        <v>246</v>
      </c>
      <c r="D64" s="1" t="s">
        <v>246</v>
      </c>
      <c r="E64" s="1" t="s">
        <v>434</v>
      </c>
      <c r="F64" s="1" t="s">
        <v>619</v>
      </c>
      <c r="G64" s="1" t="s">
        <v>799</v>
      </c>
      <c r="H64" s="1" t="s">
        <v>986</v>
      </c>
      <c r="I64" s="1" t="s">
        <v>1168</v>
      </c>
      <c r="J64" s="1" t="s">
        <v>1350</v>
      </c>
      <c r="K64" s="1" t="s">
        <v>1536</v>
      </c>
    </row>
    <row r="65" spans="1:11" x14ac:dyDescent="0.2">
      <c r="A65" s="1" t="s">
        <v>1680</v>
      </c>
      <c r="B65" s="1" t="s">
        <v>55</v>
      </c>
      <c r="C65" s="1" t="s">
        <v>247</v>
      </c>
      <c r="D65" s="1" t="s">
        <v>247</v>
      </c>
      <c r="E65" s="1" t="s">
        <v>435</v>
      </c>
      <c r="F65" s="1" t="s">
        <v>620</v>
      </c>
      <c r="G65" s="1" t="s">
        <v>800</v>
      </c>
      <c r="H65" s="1" t="s">
        <v>987</v>
      </c>
      <c r="I65" s="1" t="s">
        <v>1169</v>
      </c>
      <c r="J65" s="1" t="s">
        <v>1351</v>
      </c>
      <c r="K65" s="1" t="s">
        <v>1537</v>
      </c>
    </row>
    <row r="66" spans="1:11" x14ac:dyDescent="0.2">
      <c r="A66" s="3" t="s">
        <v>1681</v>
      </c>
      <c r="B66" s="3" t="s">
        <v>56</v>
      </c>
      <c r="C66" s="1" t="s">
        <v>248</v>
      </c>
      <c r="D66" s="1" t="s">
        <v>248</v>
      </c>
      <c r="E66" s="1" t="s">
        <v>436</v>
      </c>
      <c r="F66" s="1" t="s">
        <v>621</v>
      </c>
      <c r="G66" s="3" t="s">
        <v>801</v>
      </c>
      <c r="H66" s="3" t="s">
        <v>988</v>
      </c>
      <c r="I66" s="3" t="s">
        <v>1170</v>
      </c>
      <c r="J66" s="3" t="s">
        <v>1352</v>
      </c>
      <c r="K66" s="3" t="s">
        <v>1538</v>
      </c>
    </row>
    <row r="67" spans="1:11" x14ac:dyDescent="0.2">
      <c r="A67" s="1" t="s">
        <v>1682</v>
      </c>
      <c r="B67" s="1" t="s">
        <v>57</v>
      </c>
      <c r="C67" s="1" t="s">
        <v>249</v>
      </c>
      <c r="D67" s="1" t="s">
        <v>249</v>
      </c>
      <c r="E67" s="1" t="s">
        <v>437</v>
      </c>
      <c r="F67" s="1" t="s">
        <v>622</v>
      </c>
      <c r="G67" s="1" t="s">
        <v>802</v>
      </c>
      <c r="H67" s="1" t="s">
        <v>989</v>
      </c>
      <c r="I67" s="1" t="s">
        <v>1171</v>
      </c>
      <c r="J67" s="1" t="s">
        <v>1353</v>
      </c>
      <c r="K67" s="1" t="s">
        <v>1539</v>
      </c>
    </row>
    <row r="68" spans="1:11" x14ac:dyDescent="0.2">
      <c r="A68" s="1" t="s">
        <v>1683</v>
      </c>
      <c r="B68" s="1" t="s">
        <v>58</v>
      </c>
      <c r="C68" s="1" t="s">
        <v>250</v>
      </c>
      <c r="D68" s="1" t="s">
        <v>250</v>
      </c>
      <c r="E68" s="1" t="s">
        <v>438</v>
      </c>
      <c r="F68" s="1" t="s">
        <v>623</v>
      </c>
      <c r="G68" s="3" t="s">
        <v>803</v>
      </c>
      <c r="H68" s="1" t="s">
        <v>990</v>
      </c>
      <c r="I68" s="1" t="s">
        <v>1172</v>
      </c>
      <c r="J68" s="1" t="s">
        <v>1354</v>
      </c>
      <c r="K68" s="1" t="s">
        <v>1540</v>
      </c>
    </row>
    <row r="69" spans="1:11" x14ac:dyDescent="0.2">
      <c r="B69" s="1" t="s">
        <v>59</v>
      </c>
      <c r="C69" s="1" t="s">
        <v>251</v>
      </c>
      <c r="D69" s="1" t="s">
        <v>251</v>
      </c>
      <c r="E69" s="1" t="s">
        <v>439</v>
      </c>
      <c r="F69" s="1" t="s">
        <v>624</v>
      </c>
      <c r="G69" s="1" t="s">
        <v>804</v>
      </c>
      <c r="H69" s="1" t="s">
        <v>991</v>
      </c>
      <c r="I69" s="1" t="s">
        <v>1173</v>
      </c>
      <c r="J69" s="1" t="s">
        <v>1355</v>
      </c>
      <c r="K69" s="1" t="s">
        <v>1541</v>
      </c>
    </row>
    <row r="70" spans="1:11" x14ac:dyDescent="0.2">
      <c r="B70" s="1" t="s">
        <v>60</v>
      </c>
      <c r="C70" s="1" t="s">
        <v>252</v>
      </c>
      <c r="D70" s="1" t="s">
        <v>252</v>
      </c>
      <c r="E70" s="1" t="s">
        <v>440</v>
      </c>
      <c r="F70" s="1" t="s">
        <v>625</v>
      </c>
      <c r="G70" s="1" t="s">
        <v>805</v>
      </c>
      <c r="H70" s="1" t="s">
        <v>992</v>
      </c>
      <c r="I70" s="1" t="s">
        <v>1174</v>
      </c>
      <c r="J70" s="1" t="s">
        <v>1356</v>
      </c>
      <c r="K70" s="1" t="s">
        <v>1542</v>
      </c>
    </row>
    <row r="71" spans="1:11" x14ac:dyDescent="0.2">
      <c r="B71" s="1" t="s">
        <v>61</v>
      </c>
      <c r="C71" s="1" t="s">
        <v>253</v>
      </c>
      <c r="D71" s="1" t="s">
        <v>253</v>
      </c>
      <c r="E71" s="1" t="s">
        <v>441</v>
      </c>
      <c r="F71" s="1" t="s">
        <v>626</v>
      </c>
      <c r="G71" s="1" t="s">
        <v>806</v>
      </c>
      <c r="H71" s="1" t="s">
        <v>993</v>
      </c>
      <c r="I71" s="1" t="s">
        <v>1175</v>
      </c>
      <c r="J71" s="1" t="s">
        <v>1357</v>
      </c>
      <c r="K71" s="1" t="s">
        <v>1543</v>
      </c>
    </row>
    <row r="72" spans="1:11" x14ac:dyDescent="0.2">
      <c r="B72" s="1" t="s">
        <v>62</v>
      </c>
      <c r="C72" s="1" t="s">
        <v>254</v>
      </c>
      <c r="D72" s="1" t="s">
        <v>254</v>
      </c>
      <c r="E72" s="1" t="s">
        <v>442</v>
      </c>
      <c r="F72" s="1" t="s">
        <v>627</v>
      </c>
      <c r="G72" s="1" t="s">
        <v>807</v>
      </c>
      <c r="H72" s="1" t="s">
        <v>994</v>
      </c>
      <c r="I72" s="1" t="s">
        <v>1176</v>
      </c>
      <c r="J72" s="1" t="s">
        <v>1358</v>
      </c>
      <c r="K72" s="1" t="s">
        <v>1544</v>
      </c>
    </row>
    <row r="73" spans="1:11" x14ac:dyDescent="0.2">
      <c r="B73" s="1" t="s">
        <v>63</v>
      </c>
      <c r="C73" s="1" t="s">
        <v>63</v>
      </c>
      <c r="D73" s="1" t="s">
        <v>63</v>
      </c>
      <c r="E73" s="1" t="s">
        <v>63</v>
      </c>
      <c r="F73" s="1" t="s">
        <v>610</v>
      </c>
      <c r="G73" s="1" t="s">
        <v>808</v>
      </c>
      <c r="H73" s="1" t="s">
        <v>995</v>
      </c>
      <c r="I73" s="1" t="s">
        <v>1177</v>
      </c>
      <c r="J73" s="1" t="s">
        <v>1359</v>
      </c>
      <c r="K73" s="1" t="s">
        <v>1545</v>
      </c>
    </row>
    <row r="74" spans="1:11" x14ac:dyDescent="0.2">
      <c r="B74" s="1" t="s">
        <v>64</v>
      </c>
      <c r="C74" s="1" t="s">
        <v>255</v>
      </c>
      <c r="D74" s="1" t="s">
        <v>255</v>
      </c>
      <c r="E74" s="1" t="s">
        <v>443</v>
      </c>
      <c r="F74" s="1" t="s">
        <v>611</v>
      </c>
      <c r="G74" s="3" t="s">
        <v>809</v>
      </c>
      <c r="H74" s="1" t="s">
        <v>996</v>
      </c>
      <c r="I74" s="1" t="s">
        <v>1178</v>
      </c>
      <c r="J74" s="1" t="s">
        <v>1360</v>
      </c>
      <c r="K74" s="1" t="s">
        <v>1546</v>
      </c>
    </row>
    <row r="75" spans="1:11" x14ac:dyDescent="0.2">
      <c r="A75" s="1" t="s">
        <v>1671</v>
      </c>
      <c r="B75" s="11" t="s">
        <v>1693</v>
      </c>
      <c r="F75" s="1" t="s">
        <v>612</v>
      </c>
      <c r="G75" s="1" t="s">
        <v>810</v>
      </c>
      <c r="H75" s="1" t="s">
        <v>997</v>
      </c>
      <c r="I75" s="1" t="s">
        <v>1179</v>
      </c>
      <c r="J75" s="1" t="s">
        <v>1361</v>
      </c>
      <c r="K75" s="1" t="s">
        <v>1547</v>
      </c>
    </row>
    <row r="76" spans="1:11" x14ac:dyDescent="0.2">
      <c r="B76" s="1" t="s">
        <v>0</v>
      </c>
      <c r="C76" s="1" t="s">
        <v>0</v>
      </c>
      <c r="D76" s="1" t="s">
        <v>0</v>
      </c>
      <c r="E76" s="1" t="s">
        <v>0</v>
      </c>
      <c r="F76" s="1" t="s">
        <v>628</v>
      </c>
      <c r="G76" s="1" t="s">
        <v>811</v>
      </c>
      <c r="H76" s="1" t="s">
        <v>998</v>
      </c>
      <c r="I76" s="1" t="s">
        <v>1180</v>
      </c>
      <c r="J76" s="1" t="s">
        <v>1362</v>
      </c>
      <c r="K76" s="1" t="s">
        <v>1548</v>
      </c>
    </row>
    <row r="77" spans="1:11" x14ac:dyDescent="0.2">
      <c r="B77" s="1" t="s">
        <v>65</v>
      </c>
      <c r="C77" s="1" t="s">
        <v>256</v>
      </c>
      <c r="D77" s="1" t="s">
        <v>256</v>
      </c>
      <c r="E77" s="1" t="s">
        <v>444</v>
      </c>
      <c r="F77" s="1" t="s">
        <v>79</v>
      </c>
      <c r="G77" s="1" t="s">
        <v>812</v>
      </c>
      <c r="H77" s="1" t="s">
        <v>999</v>
      </c>
      <c r="I77" s="1" t="s">
        <v>1181</v>
      </c>
      <c r="J77" s="1" t="s">
        <v>1363</v>
      </c>
      <c r="K77" s="1" t="s">
        <v>1549</v>
      </c>
    </row>
    <row r="78" spans="1:11" x14ac:dyDescent="0.2">
      <c r="A78" s="1" t="s">
        <v>1672</v>
      </c>
      <c r="B78" s="1" t="s">
        <v>66</v>
      </c>
      <c r="C78" s="1" t="s">
        <v>257</v>
      </c>
      <c r="D78" s="1" t="s">
        <v>257</v>
      </c>
      <c r="E78" s="1" t="s">
        <v>445</v>
      </c>
      <c r="F78" s="1" t="s">
        <v>614</v>
      </c>
      <c r="G78" s="1" t="s">
        <v>813</v>
      </c>
      <c r="H78" s="1" t="s">
        <v>1000</v>
      </c>
      <c r="I78" s="1" t="s">
        <v>1182</v>
      </c>
      <c r="J78" s="1" t="s">
        <v>1364</v>
      </c>
      <c r="K78" s="1" t="s">
        <v>1550</v>
      </c>
    </row>
    <row r="79" spans="1:11" x14ac:dyDescent="0.2">
      <c r="A79" s="3" t="s">
        <v>1673</v>
      </c>
      <c r="B79" s="3" t="s">
        <v>67</v>
      </c>
      <c r="C79" s="3" t="s">
        <v>258</v>
      </c>
      <c r="D79" s="3" t="s">
        <v>258</v>
      </c>
      <c r="E79" s="3" t="s">
        <v>446</v>
      </c>
      <c r="G79" s="10" t="s">
        <v>1694</v>
      </c>
    </row>
    <row r="80" spans="1:11" x14ac:dyDescent="0.2">
      <c r="A80" s="1" t="s">
        <v>1674</v>
      </c>
      <c r="B80" s="1" t="s">
        <v>68</v>
      </c>
      <c r="C80" s="1" t="s">
        <v>259</v>
      </c>
      <c r="D80" s="1" t="s">
        <v>259</v>
      </c>
      <c r="E80" s="1" t="s">
        <v>447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</row>
    <row r="81" spans="1:11" x14ac:dyDescent="0.2">
      <c r="A81" s="3" t="s">
        <v>1675</v>
      </c>
      <c r="B81" s="3" t="s">
        <v>69</v>
      </c>
      <c r="C81" s="1" t="s">
        <v>260</v>
      </c>
      <c r="D81" s="1" t="s">
        <v>260</v>
      </c>
      <c r="E81" s="1" t="s">
        <v>448</v>
      </c>
      <c r="F81" s="1" t="s">
        <v>629</v>
      </c>
      <c r="G81" s="1" t="s">
        <v>814</v>
      </c>
      <c r="H81" s="1" t="s">
        <v>1001</v>
      </c>
      <c r="I81" s="1" t="s">
        <v>1183</v>
      </c>
      <c r="J81" s="1" t="s">
        <v>1365</v>
      </c>
      <c r="K81" s="1" t="s">
        <v>1551</v>
      </c>
    </row>
    <row r="82" spans="1:11" x14ac:dyDescent="0.2">
      <c r="A82" s="1" t="s">
        <v>1676</v>
      </c>
      <c r="B82" s="1" t="s">
        <v>70</v>
      </c>
      <c r="C82" s="1" t="s">
        <v>261</v>
      </c>
      <c r="D82" s="1" t="s">
        <v>261</v>
      </c>
      <c r="E82" s="1" t="s">
        <v>449</v>
      </c>
      <c r="F82" s="1" t="s">
        <v>630</v>
      </c>
      <c r="G82" s="1" t="s">
        <v>815</v>
      </c>
      <c r="H82" s="1" t="s">
        <v>1002</v>
      </c>
      <c r="I82" s="1" t="s">
        <v>1184</v>
      </c>
      <c r="J82" s="1" t="s">
        <v>1366</v>
      </c>
      <c r="K82" s="1" t="s">
        <v>1552</v>
      </c>
    </row>
    <row r="83" spans="1:11" x14ac:dyDescent="0.2">
      <c r="A83" s="1" t="s">
        <v>1677</v>
      </c>
      <c r="B83" s="1" t="s">
        <v>71</v>
      </c>
      <c r="C83" s="1" t="s">
        <v>262</v>
      </c>
      <c r="D83" s="1" t="s">
        <v>262</v>
      </c>
      <c r="E83" s="1" t="s">
        <v>450</v>
      </c>
      <c r="F83" s="1" t="s">
        <v>631</v>
      </c>
      <c r="G83" s="1" t="s">
        <v>816</v>
      </c>
      <c r="H83" s="1" t="s">
        <v>1003</v>
      </c>
      <c r="I83" s="1" t="s">
        <v>1185</v>
      </c>
      <c r="J83" s="1" t="s">
        <v>1367</v>
      </c>
      <c r="K83" s="1" t="s">
        <v>1553</v>
      </c>
    </row>
    <row r="84" spans="1:11" x14ac:dyDescent="0.2">
      <c r="A84" s="1" t="s">
        <v>1678</v>
      </c>
      <c r="B84" s="1" t="s">
        <v>72</v>
      </c>
      <c r="C84" s="1" t="s">
        <v>263</v>
      </c>
      <c r="D84" s="1" t="s">
        <v>263</v>
      </c>
      <c r="E84" s="1" t="s">
        <v>451</v>
      </c>
      <c r="F84" s="3" t="s">
        <v>632</v>
      </c>
      <c r="G84" s="3" t="s">
        <v>817</v>
      </c>
      <c r="H84" s="3" t="s">
        <v>1004</v>
      </c>
      <c r="I84" s="3" t="s">
        <v>1186</v>
      </c>
      <c r="J84" s="3" t="s">
        <v>1368</v>
      </c>
      <c r="K84" s="3" t="s">
        <v>1554</v>
      </c>
    </row>
    <row r="85" spans="1:11" x14ac:dyDescent="0.2">
      <c r="A85" s="3" t="s">
        <v>1679</v>
      </c>
      <c r="B85" s="3" t="s">
        <v>73</v>
      </c>
      <c r="C85" s="1" t="s">
        <v>264</v>
      </c>
      <c r="D85" s="1" t="s">
        <v>264</v>
      </c>
      <c r="E85" s="1" t="s">
        <v>452</v>
      </c>
      <c r="F85" s="1" t="s">
        <v>633</v>
      </c>
      <c r="G85" s="1" t="s">
        <v>818</v>
      </c>
      <c r="H85" s="1" t="s">
        <v>1005</v>
      </c>
      <c r="I85" s="1" t="s">
        <v>1187</v>
      </c>
      <c r="J85" s="1" t="s">
        <v>1369</v>
      </c>
      <c r="K85" s="1" t="s">
        <v>1555</v>
      </c>
    </row>
    <row r="86" spans="1:11" x14ac:dyDescent="0.2">
      <c r="A86" s="1" t="s">
        <v>1680</v>
      </c>
      <c r="B86" s="1" t="s">
        <v>74</v>
      </c>
      <c r="C86" s="1" t="s">
        <v>265</v>
      </c>
      <c r="D86" s="1" t="s">
        <v>265</v>
      </c>
      <c r="E86" s="1" t="s">
        <v>453</v>
      </c>
      <c r="F86" s="1" t="s">
        <v>634</v>
      </c>
      <c r="G86" s="3" t="s">
        <v>819</v>
      </c>
      <c r="H86" s="1" t="s">
        <v>1006</v>
      </c>
      <c r="I86" s="1" t="s">
        <v>1188</v>
      </c>
      <c r="J86" s="1" t="s">
        <v>1370</v>
      </c>
      <c r="K86" s="1" t="s">
        <v>1556</v>
      </c>
    </row>
    <row r="87" spans="1:11" x14ac:dyDescent="0.2">
      <c r="A87" s="3" t="s">
        <v>1681</v>
      </c>
      <c r="B87" s="3" t="s">
        <v>75</v>
      </c>
      <c r="C87" s="1" t="s">
        <v>266</v>
      </c>
      <c r="D87" s="1" t="s">
        <v>266</v>
      </c>
      <c r="E87" s="1" t="s">
        <v>454</v>
      </c>
      <c r="F87" s="1" t="s">
        <v>635</v>
      </c>
      <c r="G87" s="1" t="s">
        <v>820</v>
      </c>
      <c r="H87" s="1" t="s">
        <v>1007</v>
      </c>
      <c r="I87" s="1" t="s">
        <v>1189</v>
      </c>
      <c r="J87" s="1" t="s">
        <v>1371</v>
      </c>
      <c r="K87" s="1" t="s">
        <v>1557</v>
      </c>
    </row>
    <row r="88" spans="1:11" x14ac:dyDescent="0.2">
      <c r="A88" s="1" t="s">
        <v>1682</v>
      </c>
      <c r="B88" s="1" t="s">
        <v>76</v>
      </c>
      <c r="C88" s="1" t="s">
        <v>267</v>
      </c>
      <c r="D88" s="1" t="s">
        <v>267</v>
      </c>
      <c r="E88" s="1" t="s">
        <v>455</v>
      </c>
      <c r="F88" s="1" t="s">
        <v>636</v>
      </c>
      <c r="G88" s="1" t="s">
        <v>821</v>
      </c>
      <c r="H88" s="1" t="s">
        <v>1008</v>
      </c>
      <c r="I88" s="1" t="s">
        <v>1190</v>
      </c>
      <c r="J88" s="1" t="s">
        <v>1372</v>
      </c>
      <c r="K88" s="1" t="s">
        <v>1558</v>
      </c>
    </row>
    <row r="89" spans="1:11" x14ac:dyDescent="0.2">
      <c r="A89" s="1" t="s">
        <v>1683</v>
      </c>
      <c r="B89" s="1" t="s">
        <v>77</v>
      </c>
      <c r="C89" s="1" t="s">
        <v>268</v>
      </c>
      <c r="D89" s="1" t="s">
        <v>268</v>
      </c>
      <c r="E89" s="1" t="s">
        <v>456</v>
      </c>
      <c r="F89" s="1" t="s">
        <v>637</v>
      </c>
      <c r="G89" s="1" t="s">
        <v>822</v>
      </c>
      <c r="H89" s="1" t="s">
        <v>1009</v>
      </c>
      <c r="I89" s="1" t="s">
        <v>1191</v>
      </c>
      <c r="J89" s="1" t="s">
        <v>1373</v>
      </c>
      <c r="K89" s="1" t="s">
        <v>1559</v>
      </c>
    </row>
    <row r="90" spans="1:11" x14ac:dyDescent="0.2">
      <c r="B90" s="1" t="s">
        <v>59</v>
      </c>
      <c r="C90" s="1" t="s">
        <v>251</v>
      </c>
      <c r="D90" s="1" t="s">
        <v>251</v>
      </c>
      <c r="E90" s="1" t="s">
        <v>439</v>
      </c>
      <c r="F90" s="1" t="s">
        <v>638</v>
      </c>
      <c r="G90" s="3" t="s">
        <v>823</v>
      </c>
      <c r="H90" s="1" t="s">
        <v>1010</v>
      </c>
      <c r="I90" s="1" t="s">
        <v>1192</v>
      </c>
      <c r="J90" s="1" t="s">
        <v>1374</v>
      </c>
      <c r="K90" s="1" t="s">
        <v>1560</v>
      </c>
    </row>
    <row r="91" spans="1:11" x14ac:dyDescent="0.2">
      <c r="B91" s="1" t="s">
        <v>60</v>
      </c>
      <c r="C91" s="1" t="s">
        <v>252</v>
      </c>
      <c r="D91" s="1" t="s">
        <v>252</v>
      </c>
      <c r="E91" s="1" t="s">
        <v>440</v>
      </c>
      <c r="F91" s="1" t="s">
        <v>639</v>
      </c>
      <c r="G91" s="1" t="s">
        <v>824</v>
      </c>
      <c r="H91" s="1" t="s">
        <v>1011</v>
      </c>
      <c r="I91" s="1" t="s">
        <v>1193</v>
      </c>
      <c r="J91" s="1" t="s">
        <v>1375</v>
      </c>
      <c r="K91" s="1" t="s">
        <v>1561</v>
      </c>
    </row>
    <row r="92" spans="1:11" x14ac:dyDescent="0.2">
      <c r="B92" s="1" t="s">
        <v>61</v>
      </c>
      <c r="C92" s="1" t="s">
        <v>253</v>
      </c>
      <c r="D92" s="1" t="s">
        <v>253</v>
      </c>
      <c r="E92" s="1" t="s">
        <v>441</v>
      </c>
      <c r="F92" s="1" t="s">
        <v>640</v>
      </c>
      <c r="G92" s="3" t="s">
        <v>825</v>
      </c>
      <c r="H92" s="1" t="s">
        <v>1012</v>
      </c>
      <c r="I92" s="1" t="s">
        <v>1194</v>
      </c>
      <c r="J92" s="1" t="s">
        <v>1376</v>
      </c>
      <c r="K92" s="1" t="s">
        <v>1562</v>
      </c>
    </row>
    <row r="93" spans="1:11" x14ac:dyDescent="0.2">
      <c r="B93" s="1" t="s">
        <v>78</v>
      </c>
      <c r="C93" s="1" t="s">
        <v>269</v>
      </c>
      <c r="D93" s="1" t="s">
        <v>269</v>
      </c>
      <c r="E93" s="1" t="s">
        <v>457</v>
      </c>
      <c r="F93" s="1" t="s">
        <v>641</v>
      </c>
      <c r="G93" s="1" t="s">
        <v>826</v>
      </c>
      <c r="H93" s="1" t="s">
        <v>1013</v>
      </c>
      <c r="I93" s="1" t="s">
        <v>1195</v>
      </c>
      <c r="J93" s="1" t="s">
        <v>1377</v>
      </c>
      <c r="K93" s="1" t="s">
        <v>1563</v>
      </c>
    </row>
    <row r="94" spans="1:11" x14ac:dyDescent="0.2">
      <c r="B94" s="1" t="s">
        <v>79</v>
      </c>
      <c r="C94" s="1" t="s">
        <v>79</v>
      </c>
      <c r="D94" s="1" t="s">
        <v>79</v>
      </c>
      <c r="E94" s="1" t="s">
        <v>79</v>
      </c>
      <c r="F94" s="1" t="s">
        <v>642</v>
      </c>
      <c r="G94" s="1" t="s">
        <v>827</v>
      </c>
      <c r="H94" s="1" t="s">
        <v>1014</v>
      </c>
      <c r="I94" s="1" t="s">
        <v>1196</v>
      </c>
      <c r="J94" s="1" t="s">
        <v>1378</v>
      </c>
      <c r="K94" s="1" t="s">
        <v>1564</v>
      </c>
    </row>
    <row r="95" spans="1:11" x14ac:dyDescent="0.2">
      <c r="B95" s="1" t="s">
        <v>64</v>
      </c>
      <c r="C95" s="1" t="s">
        <v>255</v>
      </c>
      <c r="D95" s="1" t="s">
        <v>255</v>
      </c>
      <c r="E95" s="1" t="s">
        <v>443</v>
      </c>
      <c r="F95" s="1" t="s">
        <v>643</v>
      </c>
      <c r="G95" s="1" t="s">
        <v>828</v>
      </c>
      <c r="H95" s="1" t="s">
        <v>1015</v>
      </c>
      <c r="I95" s="1" t="s">
        <v>1197</v>
      </c>
      <c r="J95" s="1" t="s">
        <v>1379</v>
      </c>
      <c r="K95" s="1" t="s">
        <v>1565</v>
      </c>
    </row>
    <row r="96" spans="1:11" x14ac:dyDescent="0.2">
      <c r="A96" s="1" t="s">
        <v>1671</v>
      </c>
      <c r="B96" s="10" t="s">
        <v>1692</v>
      </c>
      <c r="G96" s="5" t="s">
        <v>1691</v>
      </c>
    </row>
    <row r="97" spans="1:11" x14ac:dyDescent="0.2">
      <c r="B97" s="1" t="s">
        <v>0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</row>
    <row r="98" spans="1:11" x14ac:dyDescent="0.2">
      <c r="B98" s="1" t="s">
        <v>80</v>
      </c>
      <c r="C98" s="1" t="s">
        <v>270</v>
      </c>
      <c r="D98" s="1" t="s">
        <v>270</v>
      </c>
      <c r="E98" s="1" t="s">
        <v>458</v>
      </c>
      <c r="F98" s="1" t="s">
        <v>644</v>
      </c>
      <c r="G98" s="1" t="s">
        <v>829</v>
      </c>
      <c r="H98" s="1" t="s">
        <v>1016</v>
      </c>
      <c r="I98" s="1" t="s">
        <v>1198</v>
      </c>
      <c r="J98" s="1" t="s">
        <v>1380</v>
      </c>
      <c r="K98" s="1" t="s">
        <v>1566</v>
      </c>
    </row>
    <row r="99" spans="1:11" x14ac:dyDescent="0.2">
      <c r="A99" s="1" t="s">
        <v>1672</v>
      </c>
      <c r="B99" s="1" t="s">
        <v>81</v>
      </c>
      <c r="C99" s="1" t="s">
        <v>271</v>
      </c>
      <c r="D99" s="1" t="s">
        <v>271</v>
      </c>
      <c r="E99" s="3" t="s">
        <v>459</v>
      </c>
      <c r="F99" s="3" t="s">
        <v>645</v>
      </c>
      <c r="G99" s="3" t="s">
        <v>830</v>
      </c>
      <c r="H99" s="3" t="s">
        <v>1017</v>
      </c>
      <c r="I99" s="3" t="s">
        <v>1199</v>
      </c>
      <c r="J99" s="3" t="s">
        <v>1381</v>
      </c>
      <c r="K99" s="3" t="s">
        <v>1567</v>
      </c>
    </row>
    <row r="100" spans="1:11" x14ac:dyDescent="0.2">
      <c r="A100" s="3" t="s">
        <v>1673</v>
      </c>
      <c r="B100" s="3" t="s">
        <v>82</v>
      </c>
      <c r="C100" s="3" t="s">
        <v>272</v>
      </c>
      <c r="D100" s="3" t="s">
        <v>272</v>
      </c>
      <c r="E100" s="1" t="s">
        <v>460</v>
      </c>
      <c r="F100" s="1" t="s">
        <v>646</v>
      </c>
      <c r="G100" s="1" t="s">
        <v>831</v>
      </c>
      <c r="H100" s="1" t="s">
        <v>1018</v>
      </c>
      <c r="I100" s="1" t="s">
        <v>1200</v>
      </c>
      <c r="J100" s="1" t="s">
        <v>1382</v>
      </c>
      <c r="K100" s="1" t="s">
        <v>1568</v>
      </c>
    </row>
    <row r="101" spans="1:11" x14ac:dyDescent="0.2">
      <c r="A101" s="1" t="s">
        <v>1674</v>
      </c>
      <c r="B101" s="1" t="s">
        <v>83</v>
      </c>
      <c r="C101" s="1" t="s">
        <v>273</v>
      </c>
      <c r="D101" s="1" t="s">
        <v>273</v>
      </c>
      <c r="E101" s="1" t="s">
        <v>461</v>
      </c>
      <c r="F101" s="1" t="s">
        <v>647</v>
      </c>
      <c r="G101" s="1" t="s">
        <v>832</v>
      </c>
      <c r="H101" s="1" t="s">
        <v>1019</v>
      </c>
      <c r="I101" s="1" t="s">
        <v>1201</v>
      </c>
      <c r="J101" s="1" t="s">
        <v>1383</v>
      </c>
      <c r="K101" s="1" t="s">
        <v>1569</v>
      </c>
    </row>
    <row r="102" spans="1:11" x14ac:dyDescent="0.2">
      <c r="A102" s="3" t="s">
        <v>1675</v>
      </c>
      <c r="B102" s="3" t="s">
        <v>84</v>
      </c>
      <c r="C102" s="1" t="s">
        <v>274</v>
      </c>
      <c r="D102" s="1" t="s">
        <v>274</v>
      </c>
      <c r="E102" s="1" t="s">
        <v>462</v>
      </c>
      <c r="F102" s="1" t="s">
        <v>648</v>
      </c>
      <c r="G102" s="1" t="s">
        <v>833</v>
      </c>
      <c r="H102" s="1" t="s">
        <v>1020</v>
      </c>
      <c r="I102" s="1" t="s">
        <v>1202</v>
      </c>
      <c r="J102" s="1" t="s">
        <v>1384</v>
      </c>
      <c r="K102" s="1" t="s">
        <v>1570</v>
      </c>
    </row>
    <row r="103" spans="1:11" x14ac:dyDescent="0.2">
      <c r="A103" s="1" t="s">
        <v>1676</v>
      </c>
      <c r="B103" s="1" t="s">
        <v>85</v>
      </c>
      <c r="C103" s="1" t="s">
        <v>275</v>
      </c>
      <c r="D103" s="1" t="s">
        <v>275</v>
      </c>
      <c r="E103" s="1" t="s">
        <v>463</v>
      </c>
      <c r="F103" s="1" t="s">
        <v>649</v>
      </c>
      <c r="G103" s="1" t="s">
        <v>834</v>
      </c>
      <c r="H103" s="1" t="s">
        <v>1021</v>
      </c>
      <c r="I103" s="1" t="s">
        <v>1203</v>
      </c>
      <c r="J103" s="1" t="s">
        <v>1385</v>
      </c>
      <c r="K103" s="1" t="s">
        <v>1571</v>
      </c>
    </row>
    <row r="104" spans="1:11" x14ac:dyDescent="0.2">
      <c r="A104" s="1" t="s">
        <v>1677</v>
      </c>
      <c r="B104" s="1" t="s">
        <v>86</v>
      </c>
      <c r="C104" s="1" t="s">
        <v>276</v>
      </c>
      <c r="D104" s="1" t="s">
        <v>276</v>
      </c>
      <c r="E104" s="1" t="s">
        <v>464</v>
      </c>
      <c r="F104" s="1" t="s">
        <v>650</v>
      </c>
      <c r="G104" s="1" t="s">
        <v>835</v>
      </c>
      <c r="H104" s="1" t="s">
        <v>1022</v>
      </c>
      <c r="I104" s="1" t="s">
        <v>1204</v>
      </c>
      <c r="J104" s="1" t="s">
        <v>1386</v>
      </c>
      <c r="K104" s="1" t="s">
        <v>1572</v>
      </c>
    </row>
    <row r="105" spans="1:11" x14ac:dyDescent="0.2">
      <c r="A105" s="1" t="s">
        <v>1678</v>
      </c>
      <c r="B105" s="1" t="s">
        <v>87</v>
      </c>
      <c r="C105" s="1" t="s">
        <v>277</v>
      </c>
      <c r="D105" s="1" t="s">
        <v>277</v>
      </c>
      <c r="E105" s="1" t="s">
        <v>465</v>
      </c>
      <c r="F105" s="1" t="s">
        <v>651</v>
      </c>
      <c r="G105" s="3" t="s">
        <v>836</v>
      </c>
      <c r="H105" s="1" t="s">
        <v>1023</v>
      </c>
      <c r="I105" s="1" t="s">
        <v>1205</v>
      </c>
      <c r="J105" s="1" t="s">
        <v>1387</v>
      </c>
      <c r="K105" s="1" t="s">
        <v>1573</v>
      </c>
    </row>
    <row r="106" spans="1:11" x14ac:dyDescent="0.2">
      <c r="A106" s="3" t="s">
        <v>1679</v>
      </c>
      <c r="B106" s="3" t="s">
        <v>88</v>
      </c>
      <c r="C106" s="1" t="s">
        <v>278</v>
      </c>
      <c r="D106" s="1" t="s">
        <v>278</v>
      </c>
      <c r="E106" s="1" t="s">
        <v>466</v>
      </c>
      <c r="F106" s="1" t="s">
        <v>652</v>
      </c>
      <c r="G106" s="1" t="s">
        <v>837</v>
      </c>
      <c r="H106" s="1" t="s">
        <v>1024</v>
      </c>
      <c r="I106" s="1" t="s">
        <v>1206</v>
      </c>
      <c r="J106" s="1" t="s">
        <v>1388</v>
      </c>
      <c r="K106" s="1" t="s">
        <v>1574</v>
      </c>
    </row>
    <row r="107" spans="1:11" x14ac:dyDescent="0.2">
      <c r="A107" s="1" t="s">
        <v>1680</v>
      </c>
      <c r="B107" s="1" t="s">
        <v>89</v>
      </c>
      <c r="C107" s="1" t="s">
        <v>279</v>
      </c>
      <c r="D107" s="1" t="s">
        <v>279</v>
      </c>
      <c r="E107" s="1" t="s">
        <v>467</v>
      </c>
      <c r="F107" s="1" t="s">
        <v>653</v>
      </c>
      <c r="G107" s="3" t="s">
        <v>838</v>
      </c>
      <c r="H107" s="1" t="s">
        <v>1025</v>
      </c>
      <c r="I107" s="1" t="s">
        <v>1207</v>
      </c>
      <c r="J107" s="1" t="s">
        <v>1389</v>
      </c>
      <c r="K107" s="1" t="s">
        <v>1575</v>
      </c>
    </row>
    <row r="108" spans="1:11" x14ac:dyDescent="0.2">
      <c r="A108" s="3" t="s">
        <v>1681</v>
      </c>
      <c r="B108" s="3" t="s">
        <v>90</v>
      </c>
      <c r="C108" s="1" t="s">
        <v>280</v>
      </c>
      <c r="D108" s="1" t="s">
        <v>280</v>
      </c>
      <c r="E108" s="1" t="s">
        <v>468</v>
      </c>
      <c r="F108" s="1" t="s">
        <v>654</v>
      </c>
      <c r="G108" s="1" t="s">
        <v>839</v>
      </c>
      <c r="H108" s="1" t="s">
        <v>1026</v>
      </c>
      <c r="I108" s="1" t="s">
        <v>1208</v>
      </c>
      <c r="J108" s="1" t="s">
        <v>1390</v>
      </c>
      <c r="K108" s="1" t="s">
        <v>1576</v>
      </c>
    </row>
    <row r="109" spans="1:11" x14ac:dyDescent="0.2">
      <c r="A109" s="1" t="s">
        <v>1682</v>
      </c>
      <c r="B109" s="1" t="s">
        <v>91</v>
      </c>
      <c r="C109" s="1" t="s">
        <v>281</v>
      </c>
      <c r="D109" s="1" t="s">
        <v>281</v>
      </c>
      <c r="E109" s="1" t="s">
        <v>469</v>
      </c>
      <c r="F109" s="1" t="s">
        <v>655</v>
      </c>
      <c r="G109" s="1" t="s">
        <v>840</v>
      </c>
      <c r="H109" s="1" t="s">
        <v>1027</v>
      </c>
      <c r="I109" s="1" t="s">
        <v>1209</v>
      </c>
      <c r="J109" s="1" t="s">
        <v>1391</v>
      </c>
      <c r="K109" s="1" t="s">
        <v>1577</v>
      </c>
    </row>
    <row r="110" spans="1:11" x14ac:dyDescent="0.2">
      <c r="A110" s="1" t="s">
        <v>1683</v>
      </c>
      <c r="B110" s="1" t="s">
        <v>92</v>
      </c>
      <c r="C110" s="1" t="s">
        <v>282</v>
      </c>
      <c r="D110" s="1" t="s">
        <v>282</v>
      </c>
      <c r="E110" s="1" t="s">
        <v>470</v>
      </c>
      <c r="F110" s="1" t="s">
        <v>656</v>
      </c>
      <c r="G110" s="1" t="s">
        <v>841</v>
      </c>
      <c r="H110" s="1" t="s">
        <v>1028</v>
      </c>
      <c r="I110" s="1" t="s">
        <v>1210</v>
      </c>
      <c r="J110" s="1" t="s">
        <v>1392</v>
      </c>
      <c r="K110" s="1" t="s">
        <v>1578</v>
      </c>
    </row>
    <row r="111" spans="1:11" x14ac:dyDescent="0.2">
      <c r="B111" s="1" t="s">
        <v>93</v>
      </c>
      <c r="C111" s="1" t="s">
        <v>283</v>
      </c>
      <c r="D111" s="1" t="s">
        <v>283</v>
      </c>
      <c r="E111" s="1" t="s">
        <v>471</v>
      </c>
      <c r="F111" s="1" t="s">
        <v>657</v>
      </c>
      <c r="G111" s="1" t="s">
        <v>842</v>
      </c>
      <c r="H111" s="1" t="s">
        <v>1029</v>
      </c>
      <c r="I111" s="1" t="s">
        <v>1211</v>
      </c>
      <c r="J111" s="1" t="s">
        <v>1393</v>
      </c>
      <c r="K111" s="1" t="s">
        <v>1579</v>
      </c>
    </row>
    <row r="112" spans="1:11" x14ac:dyDescent="0.2">
      <c r="B112" s="1" t="s">
        <v>94</v>
      </c>
      <c r="C112" s="1" t="s">
        <v>284</v>
      </c>
      <c r="D112" s="1" t="s">
        <v>284</v>
      </c>
      <c r="E112" s="1" t="s">
        <v>472</v>
      </c>
      <c r="F112" s="1" t="s">
        <v>658</v>
      </c>
      <c r="G112" s="1" t="s">
        <v>843</v>
      </c>
      <c r="H112" s="1" t="s">
        <v>1030</v>
      </c>
      <c r="I112" s="1" t="s">
        <v>1212</v>
      </c>
      <c r="J112" s="1" t="s">
        <v>1394</v>
      </c>
      <c r="K112" s="1" t="s">
        <v>1580</v>
      </c>
    </row>
    <row r="113" spans="1:11" x14ac:dyDescent="0.2">
      <c r="A113" s="1" t="s">
        <v>1671</v>
      </c>
      <c r="B113" s="5" t="s">
        <v>1686</v>
      </c>
      <c r="E113" s="1" t="s">
        <v>473</v>
      </c>
      <c r="F113" s="1" t="s">
        <v>659</v>
      </c>
      <c r="G113" s="1" t="s">
        <v>844</v>
      </c>
      <c r="H113" s="1" t="s">
        <v>1031</v>
      </c>
      <c r="I113" s="1" t="s">
        <v>1213</v>
      </c>
      <c r="J113" s="1" t="s">
        <v>1395</v>
      </c>
      <c r="K113" s="1" t="s">
        <v>1581</v>
      </c>
    </row>
    <row r="114" spans="1:11" x14ac:dyDescent="0.2">
      <c r="B114" s="1" t="s">
        <v>0</v>
      </c>
      <c r="C114" s="1" t="s">
        <v>0</v>
      </c>
      <c r="D114" s="1" t="s">
        <v>0</v>
      </c>
      <c r="E114" s="1" t="s">
        <v>474</v>
      </c>
      <c r="F114" s="1" t="s">
        <v>660</v>
      </c>
      <c r="G114" s="1" t="s">
        <v>845</v>
      </c>
      <c r="H114" s="1" t="s">
        <v>1032</v>
      </c>
      <c r="I114" s="1" t="s">
        <v>1214</v>
      </c>
      <c r="J114" s="1" t="s">
        <v>1396</v>
      </c>
      <c r="K114" s="1" t="s">
        <v>1582</v>
      </c>
    </row>
    <row r="115" spans="1:11" x14ac:dyDescent="0.2">
      <c r="B115" s="1" t="s">
        <v>95</v>
      </c>
      <c r="C115" s="1" t="s">
        <v>285</v>
      </c>
      <c r="D115" s="1" t="s">
        <v>285</v>
      </c>
      <c r="E115" s="1" t="s">
        <v>63</v>
      </c>
      <c r="F115" s="1" t="s">
        <v>63</v>
      </c>
      <c r="G115" s="1" t="s">
        <v>63</v>
      </c>
      <c r="H115" s="1" t="s">
        <v>63</v>
      </c>
      <c r="I115" s="1" t="s">
        <v>63</v>
      </c>
      <c r="J115" s="1" t="s">
        <v>63</v>
      </c>
      <c r="K115" s="1" t="s">
        <v>63</v>
      </c>
    </row>
    <row r="116" spans="1:11" x14ac:dyDescent="0.2">
      <c r="A116" s="3" t="s">
        <v>1672</v>
      </c>
      <c r="B116" s="3" t="s">
        <v>96</v>
      </c>
      <c r="C116" s="3" t="s">
        <v>286</v>
      </c>
      <c r="D116" s="3" t="s">
        <v>286</v>
      </c>
      <c r="E116" s="1" t="s">
        <v>475</v>
      </c>
      <c r="F116" s="1" t="s">
        <v>661</v>
      </c>
      <c r="G116" s="1" t="s">
        <v>846</v>
      </c>
      <c r="H116" s="1" t="s">
        <v>1033</v>
      </c>
      <c r="I116" s="1" t="s">
        <v>1215</v>
      </c>
      <c r="J116" s="1" t="s">
        <v>1397</v>
      </c>
      <c r="K116" s="1" t="s">
        <v>1583</v>
      </c>
    </row>
    <row r="117" spans="1:11" x14ac:dyDescent="0.2">
      <c r="A117" s="1" t="s">
        <v>1673</v>
      </c>
      <c r="B117" s="1" t="s">
        <v>97</v>
      </c>
      <c r="C117" s="1" t="s">
        <v>287</v>
      </c>
      <c r="D117" s="1" t="s">
        <v>287</v>
      </c>
      <c r="G117" s="5" t="s">
        <v>1691</v>
      </c>
    </row>
    <row r="118" spans="1:11" x14ac:dyDescent="0.2">
      <c r="A118" s="1" t="s">
        <v>1674</v>
      </c>
      <c r="B118" s="1" t="s">
        <v>98</v>
      </c>
      <c r="C118" s="1" t="s">
        <v>288</v>
      </c>
      <c r="D118" s="1" t="s">
        <v>288</v>
      </c>
      <c r="E118" s="1" t="s">
        <v>0</v>
      </c>
      <c r="F118" s="1" t="s">
        <v>0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</row>
    <row r="119" spans="1:11" x14ac:dyDescent="0.2">
      <c r="A119" s="1" t="s">
        <v>1675</v>
      </c>
      <c r="B119" s="1" t="s">
        <v>99</v>
      </c>
      <c r="C119" s="1" t="s">
        <v>289</v>
      </c>
      <c r="D119" s="1" t="s">
        <v>289</v>
      </c>
      <c r="E119" s="1" t="s">
        <v>476</v>
      </c>
      <c r="F119" s="1" t="s">
        <v>662</v>
      </c>
      <c r="G119" s="1" t="s">
        <v>847</v>
      </c>
      <c r="H119" s="1" t="s">
        <v>1034</v>
      </c>
      <c r="I119" s="1" t="s">
        <v>1216</v>
      </c>
      <c r="J119" s="1" t="s">
        <v>1398</v>
      </c>
      <c r="K119" s="1" t="s">
        <v>1584</v>
      </c>
    </row>
    <row r="120" spans="1:11" x14ac:dyDescent="0.2">
      <c r="A120" s="3" t="s">
        <v>1676</v>
      </c>
      <c r="B120" s="3" t="s">
        <v>100</v>
      </c>
      <c r="C120" s="1" t="s">
        <v>290</v>
      </c>
      <c r="D120" s="1" t="s">
        <v>290</v>
      </c>
      <c r="E120" s="3" t="s">
        <v>477</v>
      </c>
      <c r="F120" s="3" t="s">
        <v>663</v>
      </c>
      <c r="G120" s="3" t="s">
        <v>848</v>
      </c>
      <c r="H120" s="3" t="s">
        <v>1035</v>
      </c>
      <c r="I120" s="3" t="s">
        <v>1217</v>
      </c>
      <c r="J120" s="3" t="s">
        <v>1399</v>
      </c>
      <c r="K120" s="3" t="s">
        <v>1585</v>
      </c>
    </row>
    <row r="121" spans="1:11" x14ac:dyDescent="0.2">
      <c r="A121" s="1" t="s">
        <v>1677</v>
      </c>
      <c r="B121" s="1" t="s">
        <v>101</v>
      </c>
      <c r="C121" s="1" t="s">
        <v>291</v>
      </c>
      <c r="D121" s="1" t="s">
        <v>291</v>
      </c>
      <c r="E121" s="1" t="s">
        <v>478</v>
      </c>
      <c r="F121" s="1" t="s">
        <v>664</v>
      </c>
      <c r="G121" s="1" t="s">
        <v>849</v>
      </c>
      <c r="H121" s="1" t="s">
        <v>1036</v>
      </c>
      <c r="I121" s="1" t="s">
        <v>1218</v>
      </c>
      <c r="J121" s="1" t="s">
        <v>1400</v>
      </c>
      <c r="K121" s="1" t="s">
        <v>1586</v>
      </c>
    </row>
    <row r="122" spans="1:11" x14ac:dyDescent="0.2">
      <c r="A122" s="1" t="s">
        <v>1678</v>
      </c>
      <c r="B122" s="1" t="s">
        <v>102</v>
      </c>
      <c r="C122" s="1" t="s">
        <v>292</v>
      </c>
      <c r="D122" s="1" t="s">
        <v>292</v>
      </c>
      <c r="E122" s="1" t="s">
        <v>479</v>
      </c>
      <c r="F122" s="1" t="s">
        <v>665</v>
      </c>
      <c r="G122" s="1" t="s">
        <v>850</v>
      </c>
      <c r="H122" s="1" t="s">
        <v>1037</v>
      </c>
      <c r="I122" s="1" t="s">
        <v>1219</v>
      </c>
      <c r="J122" s="1" t="s">
        <v>1401</v>
      </c>
      <c r="K122" s="1" t="s">
        <v>1587</v>
      </c>
    </row>
    <row r="123" spans="1:11" x14ac:dyDescent="0.2">
      <c r="A123" s="1" t="s">
        <v>1679</v>
      </c>
      <c r="B123" s="1" t="s">
        <v>103</v>
      </c>
      <c r="C123" s="1" t="s">
        <v>293</v>
      </c>
      <c r="D123" s="1" t="s">
        <v>293</v>
      </c>
      <c r="E123" s="1" t="s">
        <v>480</v>
      </c>
      <c r="F123" s="1" t="s">
        <v>666</v>
      </c>
      <c r="G123" s="1" t="s">
        <v>851</v>
      </c>
      <c r="H123" s="1" t="s">
        <v>1038</v>
      </c>
      <c r="I123" s="1" t="s">
        <v>1220</v>
      </c>
      <c r="J123" s="1" t="s">
        <v>1402</v>
      </c>
      <c r="K123" s="1" t="s">
        <v>1588</v>
      </c>
    </row>
    <row r="124" spans="1:11" x14ac:dyDescent="0.2">
      <c r="A124" s="3" t="s">
        <v>1680</v>
      </c>
      <c r="B124" s="3" t="s">
        <v>104</v>
      </c>
      <c r="C124" s="1" t="s">
        <v>294</v>
      </c>
      <c r="D124" s="1" t="s">
        <v>294</v>
      </c>
      <c r="E124" s="1" t="s">
        <v>481</v>
      </c>
      <c r="F124" s="1" t="s">
        <v>667</v>
      </c>
      <c r="G124" s="1" t="s">
        <v>852</v>
      </c>
      <c r="H124" s="1" t="s">
        <v>1039</v>
      </c>
      <c r="I124" s="1" t="s">
        <v>1221</v>
      </c>
      <c r="J124" s="1" t="s">
        <v>1403</v>
      </c>
      <c r="K124" s="1" t="s">
        <v>1589</v>
      </c>
    </row>
    <row r="125" spans="1:11" x14ac:dyDescent="0.2">
      <c r="A125" s="1" t="s">
        <v>1681</v>
      </c>
      <c r="B125" s="1" t="s">
        <v>105</v>
      </c>
      <c r="C125" s="1" t="s">
        <v>295</v>
      </c>
      <c r="D125" s="1" t="s">
        <v>295</v>
      </c>
      <c r="E125" s="1" t="s">
        <v>482</v>
      </c>
      <c r="F125" s="1" t="s">
        <v>668</v>
      </c>
      <c r="G125" s="1" t="s">
        <v>853</v>
      </c>
      <c r="H125" s="1" t="s">
        <v>1040</v>
      </c>
      <c r="I125" s="1" t="s">
        <v>1222</v>
      </c>
      <c r="J125" s="1" t="s">
        <v>1404</v>
      </c>
      <c r="K125" s="1" t="s">
        <v>1590</v>
      </c>
    </row>
    <row r="126" spans="1:11" x14ac:dyDescent="0.2">
      <c r="A126" s="3" t="s">
        <v>1682</v>
      </c>
      <c r="B126" s="3" t="s">
        <v>106</v>
      </c>
      <c r="C126" s="1" t="s">
        <v>296</v>
      </c>
      <c r="D126" s="1" t="s">
        <v>296</v>
      </c>
      <c r="E126" s="1" t="s">
        <v>483</v>
      </c>
      <c r="F126" s="1" t="s">
        <v>669</v>
      </c>
      <c r="G126" s="3" t="s">
        <v>854</v>
      </c>
      <c r="H126" s="1" t="s">
        <v>1041</v>
      </c>
      <c r="I126" s="1" t="s">
        <v>1223</v>
      </c>
      <c r="J126" s="1" t="s">
        <v>1405</v>
      </c>
      <c r="K126" s="1" t="s">
        <v>1591</v>
      </c>
    </row>
    <row r="127" spans="1:11" x14ac:dyDescent="0.2">
      <c r="A127" s="1" t="s">
        <v>1683</v>
      </c>
      <c r="B127" s="1" t="s">
        <v>107</v>
      </c>
      <c r="C127" s="1" t="s">
        <v>297</v>
      </c>
      <c r="D127" s="1" t="s">
        <v>297</v>
      </c>
      <c r="E127" s="1" t="s">
        <v>484</v>
      </c>
      <c r="F127" s="1" t="s">
        <v>670</v>
      </c>
      <c r="G127" s="1" t="s">
        <v>855</v>
      </c>
      <c r="H127" s="1" t="s">
        <v>1042</v>
      </c>
      <c r="I127" s="1" t="s">
        <v>1224</v>
      </c>
      <c r="J127" s="1" t="s">
        <v>1406</v>
      </c>
      <c r="K127" s="1" t="s">
        <v>1592</v>
      </c>
    </row>
    <row r="128" spans="1:11" x14ac:dyDescent="0.2">
      <c r="B128" s="1" t="s">
        <v>108</v>
      </c>
      <c r="C128" s="1" t="s">
        <v>298</v>
      </c>
      <c r="D128" s="1" t="s">
        <v>298</v>
      </c>
      <c r="E128" s="1" t="s">
        <v>485</v>
      </c>
      <c r="F128" s="1" t="s">
        <v>671</v>
      </c>
      <c r="G128" s="3" t="s">
        <v>856</v>
      </c>
      <c r="H128" s="1" t="s">
        <v>1043</v>
      </c>
      <c r="I128" s="1" t="s">
        <v>1225</v>
      </c>
      <c r="J128" s="1" t="s">
        <v>1407</v>
      </c>
      <c r="K128" s="1" t="s">
        <v>1593</v>
      </c>
    </row>
    <row r="129" spans="1:11" x14ac:dyDescent="0.2">
      <c r="B129" s="1" t="s">
        <v>109</v>
      </c>
      <c r="C129" s="1" t="s">
        <v>299</v>
      </c>
      <c r="D129" s="1" t="s">
        <v>299</v>
      </c>
      <c r="E129" s="1" t="s">
        <v>486</v>
      </c>
      <c r="F129" s="1" t="s">
        <v>672</v>
      </c>
      <c r="G129" s="1" t="s">
        <v>857</v>
      </c>
      <c r="H129" s="1" t="s">
        <v>1044</v>
      </c>
      <c r="I129" s="1" t="s">
        <v>1226</v>
      </c>
      <c r="J129" s="1" t="s">
        <v>1408</v>
      </c>
      <c r="K129" s="1" t="s">
        <v>1594</v>
      </c>
    </row>
    <row r="130" spans="1:11" x14ac:dyDescent="0.2">
      <c r="B130" s="1" t="s">
        <v>110</v>
      </c>
      <c r="C130" s="1" t="s">
        <v>300</v>
      </c>
      <c r="D130" s="1" t="s">
        <v>300</v>
      </c>
      <c r="E130" s="1" t="s">
        <v>487</v>
      </c>
      <c r="F130" s="1" t="s">
        <v>673</v>
      </c>
      <c r="G130" s="1" t="s">
        <v>858</v>
      </c>
      <c r="H130" s="1" t="s">
        <v>1045</v>
      </c>
      <c r="I130" s="1" t="s">
        <v>1227</v>
      </c>
      <c r="J130" s="1" t="s">
        <v>1409</v>
      </c>
      <c r="K130" s="1" t="s">
        <v>1595</v>
      </c>
    </row>
    <row r="131" spans="1:11" x14ac:dyDescent="0.2">
      <c r="B131" s="1" t="s">
        <v>111</v>
      </c>
      <c r="C131" s="1" t="s">
        <v>301</v>
      </c>
      <c r="D131" s="1" t="s">
        <v>301</v>
      </c>
      <c r="E131" s="1" t="s">
        <v>488</v>
      </c>
      <c r="F131" s="1" t="s">
        <v>674</v>
      </c>
      <c r="G131" s="1" t="s">
        <v>859</v>
      </c>
      <c r="H131" s="1" t="s">
        <v>1046</v>
      </c>
      <c r="I131" s="1" t="s">
        <v>1228</v>
      </c>
      <c r="J131" s="1" t="s">
        <v>1410</v>
      </c>
      <c r="K131" s="1" t="s">
        <v>1596</v>
      </c>
    </row>
    <row r="132" spans="1:11" x14ac:dyDescent="0.2">
      <c r="B132" s="1" t="s">
        <v>63</v>
      </c>
      <c r="C132" s="1" t="s">
        <v>63</v>
      </c>
      <c r="D132" s="1" t="s">
        <v>63</v>
      </c>
      <c r="E132" s="1" t="s">
        <v>471</v>
      </c>
      <c r="F132" s="1" t="s">
        <v>657</v>
      </c>
      <c r="G132" s="1" t="s">
        <v>842</v>
      </c>
      <c r="H132" s="1" t="s">
        <v>1029</v>
      </c>
      <c r="I132" s="1" t="s">
        <v>1211</v>
      </c>
      <c r="J132" s="1" t="s">
        <v>1393</v>
      </c>
      <c r="K132" s="1" t="s">
        <v>1579</v>
      </c>
    </row>
    <row r="133" spans="1:11" x14ac:dyDescent="0.2">
      <c r="B133" s="1" t="s">
        <v>112</v>
      </c>
      <c r="C133" s="1" t="s">
        <v>302</v>
      </c>
      <c r="D133" s="1" t="s">
        <v>302</v>
      </c>
      <c r="E133" s="1" t="s">
        <v>472</v>
      </c>
      <c r="F133" s="1" t="s">
        <v>658</v>
      </c>
      <c r="G133" s="1" t="s">
        <v>843</v>
      </c>
      <c r="H133" s="1" t="s">
        <v>1030</v>
      </c>
      <c r="I133" s="1" t="s">
        <v>1212</v>
      </c>
      <c r="J133" s="1" t="s">
        <v>1394</v>
      </c>
      <c r="K133" s="1" t="s">
        <v>1580</v>
      </c>
    </row>
    <row r="134" spans="1:11" x14ac:dyDescent="0.2">
      <c r="A134" s="1" t="s">
        <v>1671</v>
      </c>
      <c r="B134" s="5" t="s">
        <v>1686</v>
      </c>
      <c r="E134" s="1" t="s">
        <v>473</v>
      </c>
      <c r="F134" s="1" t="s">
        <v>659</v>
      </c>
      <c r="G134" s="1" t="s">
        <v>844</v>
      </c>
      <c r="H134" s="1" t="s">
        <v>1031</v>
      </c>
      <c r="I134" s="1" t="s">
        <v>1213</v>
      </c>
      <c r="J134" s="1" t="s">
        <v>1395</v>
      </c>
      <c r="K134" s="1" t="s">
        <v>1581</v>
      </c>
    </row>
    <row r="135" spans="1:11" x14ac:dyDescent="0.2">
      <c r="B135" s="1" t="s">
        <v>0</v>
      </c>
      <c r="C135" s="1" t="s">
        <v>0</v>
      </c>
      <c r="D135" s="1" t="s">
        <v>0</v>
      </c>
      <c r="E135" s="1" t="s">
        <v>489</v>
      </c>
      <c r="F135" s="1" t="s">
        <v>675</v>
      </c>
      <c r="G135" s="1" t="s">
        <v>860</v>
      </c>
      <c r="H135" s="1" t="s">
        <v>1047</v>
      </c>
      <c r="I135" s="1" t="s">
        <v>1229</v>
      </c>
      <c r="J135" s="1" t="s">
        <v>1411</v>
      </c>
      <c r="K135" s="1" t="s">
        <v>1597</v>
      </c>
    </row>
    <row r="136" spans="1:11" x14ac:dyDescent="0.2">
      <c r="B136" s="1" t="s">
        <v>113</v>
      </c>
      <c r="C136" s="1" t="s">
        <v>303</v>
      </c>
      <c r="D136" s="1" t="s">
        <v>303</v>
      </c>
      <c r="E136" s="1" t="s">
        <v>79</v>
      </c>
      <c r="F136" s="1" t="s">
        <v>79</v>
      </c>
      <c r="G136" s="1" t="s">
        <v>79</v>
      </c>
      <c r="H136" s="1" t="s">
        <v>79</v>
      </c>
      <c r="I136" s="1" t="s">
        <v>79</v>
      </c>
      <c r="J136" s="1" t="s">
        <v>79</v>
      </c>
      <c r="K136" s="1" t="s">
        <v>79</v>
      </c>
    </row>
    <row r="137" spans="1:11" x14ac:dyDescent="0.2">
      <c r="A137" s="3" t="s">
        <v>1672</v>
      </c>
      <c r="B137" s="3" t="s">
        <v>114</v>
      </c>
      <c r="C137" s="1" t="s">
        <v>304</v>
      </c>
      <c r="D137" s="1" t="s">
        <v>304</v>
      </c>
      <c r="E137" s="1" t="s">
        <v>475</v>
      </c>
      <c r="F137" s="1" t="s">
        <v>661</v>
      </c>
      <c r="G137" s="1" t="s">
        <v>846</v>
      </c>
      <c r="H137" s="1" t="s">
        <v>1033</v>
      </c>
      <c r="I137" s="1" t="s">
        <v>1215</v>
      </c>
      <c r="J137" s="1" t="s">
        <v>1397</v>
      </c>
      <c r="K137" s="1" t="s">
        <v>1583</v>
      </c>
    </row>
    <row r="138" spans="1:11" x14ac:dyDescent="0.2">
      <c r="A138" s="1" t="s">
        <v>1673</v>
      </c>
      <c r="B138" s="1" t="s">
        <v>115</v>
      </c>
      <c r="C138" s="1" t="s">
        <v>305</v>
      </c>
      <c r="D138" s="1" t="s">
        <v>305</v>
      </c>
      <c r="G138" s="10" t="s">
        <v>1692</v>
      </c>
    </row>
    <row r="139" spans="1:11" x14ac:dyDescent="0.2">
      <c r="A139" s="1" t="s">
        <v>1674</v>
      </c>
      <c r="B139" s="1" t="s">
        <v>116</v>
      </c>
      <c r="C139" s="1" t="s">
        <v>306</v>
      </c>
      <c r="D139" s="1" t="s">
        <v>306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  <c r="J139" s="1" t="s">
        <v>0</v>
      </c>
      <c r="K139" s="1" t="s">
        <v>0</v>
      </c>
    </row>
    <row r="140" spans="1:11" x14ac:dyDescent="0.2">
      <c r="A140" s="1" t="s">
        <v>1675</v>
      </c>
      <c r="B140" s="1" t="s">
        <v>117</v>
      </c>
      <c r="C140" s="1" t="s">
        <v>307</v>
      </c>
      <c r="D140" s="1" t="s">
        <v>307</v>
      </c>
      <c r="E140" s="1" t="s">
        <v>490</v>
      </c>
      <c r="F140" s="1" t="s">
        <v>676</v>
      </c>
      <c r="G140" s="1" t="s">
        <v>861</v>
      </c>
      <c r="H140" s="1" t="s">
        <v>1048</v>
      </c>
      <c r="I140" s="1" t="s">
        <v>1230</v>
      </c>
      <c r="J140" s="1" t="s">
        <v>1412</v>
      </c>
      <c r="K140" s="1" t="s">
        <v>1598</v>
      </c>
    </row>
    <row r="141" spans="1:11" x14ac:dyDescent="0.2">
      <c r="A141" s="3" t="s">
        <v>1676</v>
      </c>
      <c r="B141" s="3" t="s">
        <v>118</v>
      </c>
      <c r="C141" s="1" t="s">
        <v>308</v>
      </c>
      <c r="D141" s="1" t="s">
        <v>308</v>
      </c>
      <c r="E141" s="3" t="s">
        <v>491</v>
      </c>
      <c r="F141" s="1" t="s">
        <v>677</v>
      </c>
      <c r="G141" s="1" t="s">
        <v>862</v>
      </c>
      <c r="H141" s="1" t="s">
        <v>1049</v>
      </c>
      <c r="I141" s="1" t="s">
        <v>1231</v>
      </c>
      <c r="J141" s="3" t="s">
        <v>1413</v>
      </c>
      <c r="K141" s="1" t="s">
        <v>1599</v>
      </c>
    </row>
    <row r="142" spans="1:11" x14ac:dyDescent="0.2">
      <c r="A142" s="1" t="s">
        <v>1677</v>
      </c>
      <c r="B142" s="1" t="s">
        <v>119</v>
      </c>
      <c r="C142" s="1" t="s">
        <v>309</v>
      </c>
      <c r="D142" s="1" t="s">
        <v>309</v>
      </c>
      <c r="E142" s="1" t="s">
        <v>492</v>
      </c>
      <c r="F142" s="1" t="s">
        <v>678</v>
      </c>
      <c r="G142" s="3" t="s">
        <v>863</v>
      </c>
      <c r="H142" s="1" t="s">
        <v>1050</v>
      </c>
      <c r="I142" s="1" t="s">
        <v>1232</v>
      </c>
      <c r="J142" s="1" t="s">
        <v>1414</v>
      </c>
      <c r="K142" s="1" t="s">
        <v>1600</v>
      </c>
    </row>
    <row r="143" spans="1:11" x14ac:dyDescent="0.2">
      <c r="A143" s="1" t="s">
        <v>1678</v>
      </c>
      <c r="B143" s="1" t="s">
        <v>120</v>
      </c>
      <c r="C143" s="1" t="s">
        <v>310</v>
      </c>
      <c r="D143" s="1" t="s">
        <v>310</v>
      </c>
      <c r="E143" s="1" t="s">
        <v>493</v>
      </c>
      <c r="F143" s="1" t="s">
        <v>679</v>
      </c>
      <c r="G143" s="1" t="s">
        <v>864</v>
      </c>
      <c r="H143" s="1" t="s">
        <v>1051</v>
      </c>
      <c r="I143" s="1" t="s">
        <v>1233</v>
      </c>
      <c r="J143" s="1" t="s">
        <v>1415</v>
      </c>
      <c r="K143" s="1" t="s">
        <v>1601</v>
      </c>
    </row>
    <row r="144" spans="1:11" x14ac:dyDescent="0.2">
      <c r="A144" s="1" t="s">
        <v>1679</v>
      </c>
      <c r="B144" s="1" t="s">
        <v>121</v>
      </c>
      <c r="C144" s="1" t="s">
        <v>311</v>
      </c>
      <c r="D144" s="1" t="s">
        <v>311</v>
      </c>
      <c r="E144" s="1" t="s">
        <v>494</v>
      </c>
      <c r="F144" s="1" t="s">
        <v>680</v>
      </c>
      <c r="G144" s="1" t="s">
        <v>865</v>
      </c>
      <c r="H144" s="1" t="s">
        <v>1052</v>
      </c>
      <c r="I144" s="1" t="s">
        <v>1234</v>
      </c>
      <c r="J144" s="1" t="s">
        <v>1416</v>
      </c>
      <c r="K144" s="1" t="s">
        <v>1602</v>
      </c>
    </row>
    <row r="145" spans="1:11" x14ac:dyDescent="0.2">
      <c r="A145" s="3" t="s">
        <v>1680</v>
      </c>
      <c r="B145" s="3" t="s">
        <v>122</v>
      </c>
      <c r="C145" s="1" t="s">
        <v>312</v>
      </c>
      <c r="D145" s="1" t="s">
        <v>312</v>
      </c>
      <c r="E145" s="1" t="s">
        <v>495</v>
      </c>
      <c r="F145" s="1" t="s">
        <v>681</v>
      </c>
      <c r="G145" s="1" t="s">
        <v>866</v>
      </c>
      <c r="H145" s="1" t="s">
        <v>1053</v>
      </c>
      <c r="I145" s="1" t="s">
        <v>1235</v>
      </c>
      <c r="J145" s="1" t="s">
        <v>1417</v>
      </c>
      <c r="K145" s="1" t="s">
        <v>1603</v>
      </c>
    </row>
    <row r="146" spans="1:11" x14ac:dyDescent="0.2">
      <c r="A146" s="1" t="s">
        <v>1681</v>
      </c>
      <c r="B146" s="1" t="s">
        <v>123</v>
      </c>
      <c r="C146" s="1" t="s">
        <v>313</v>
      </c>
      <c r="D146" s="1" t="s">
        <v>313</v>
      </c>
      <c r="E146" s="1" t="s">
        <v>496</v>
      </c>
      <c r="F146" s="1" t="s">
        <v>682</v>
      </c>
      <c r="G146" s="1" t="s">
        <v>867</v>
      </c>
      <c r="H146" s="1" t="s">
        <v>1054</v>
      </c>
      <c r="I146" s="1" t="s">
        <v>1236</v>
      </c>
      <c r="J146" s="1" t="s">
        <v>1418</v>
      </c>
      <c r="K146" s="1" t="s">
        <v>1604</v>
      </c>
    </row>
    <row r="147" spans="1:11" x14ac:dyDescent="0.2">
      <c r="A147" s="3" t="s">
        <v>1682</v>
      </c>
      <c r="B147" s="3" t="s">
        <v>124</v>
      </c>
      <c r="C147" s="1" t="s">
        <v>314</v>
      </c>
      <c r="D147" s="1" t="s">
        <v>314</v>
      </c>
      <c r="E147" s="1" t="s">
        <v>497</v>
      </c>
      <c r="F147" s="1" t="s">
        <v>683</v>
      </c>
      <c r="G147" s="1" t="s">
        <v>868</v>
      </c>
      <c r="H147" s="1" t="s">
        <v>1055</v>
      </c>
      <c r="I147" s="1" t="s">
        <v>1237</v>
      </c>
      <c r="J147" s="1" t="s">
        <v>1419</v>
      </c>
      <c r="K147" s="1" t="s">
        <v>1605</v>
      </c>
    </row>
    <row r="148" spans="1:11" x14ac:dyDescent="0.2">
      <c r="A148" s="1" t="s">
        <v>1683</v>
      </c>
      <c r="B148" s="1" t="s">
        <v>125</v>
      </c>
      <c r="C148" s="1" t="s">
        <v>315</v>
      </c>
      <c r="D148" s="1" t="s">
        <v>315</v>
      </c>
      <c r="E148" s="1" t="s">
        <v>498</v>
      </c>
      <c r="F148" s="1" t="s">
        <v>684</v>
      </c>
      <c r="G148" s="1" t="s">
        <v>699</v>
      </c>
      <c r="H148" s="1" t="s">
        <v>1056</v>
      </c>
      <c r="I148" s="1" t="s">
        <v>1238</v>
      </c>
      <c r="J148" s="1" t="s">
        <v>1420</v>
      </c>
      <c r="K148" s="1" t="s">
        <v>1606</v>
      </c>
    </row>
    <row r="149" spans="1:11" x14ac:dyDescent="0.2">
      <c r="B149" s="1" t="s">
        <v>108</v>
      </c>
      <c r="C149" s="1" t="s">
        <v>298</v>
      </c>
      <c r="D149" s="1" t="s">
        <v>298</v>
      </c>
      <c r="E149" s="1" t="s">
        <v>499</v>
      </c>
      <c r="F149" s="1" t="s">
        <v>685</v>
      </c>
      <c r="G149" s="1" t="s">
        <v>869</v>
      </c>
      <c r="H149" s="1" t="s">
        <v>1057</v>
      </c>
      <c r="I149" s="1" t="s">
        <v>1239</v>
      </c>
      <c r="J149" s="1" t="s">
        <v>1421</v>
      </c>
      <c r="K149" s="1" t="s">
        <v>1607</v>
      </c>
    </row>
    <row r="150" spans="1:11" x14ac:dyDescent="0.2">
      <c r="B150" s="1" t="s">
        <v>109</v>
      </c>
      <c r="C150" s="1" t="s">
        <v>299</v>
      </c>
      <c r="D150" s="1" t="s">
        <v>299</v>
      </c>
      <c r="E150" s="1" t="s">
        <v>500</v>
      </c>
      <c r="F150" s="1" t="s">
        <v>686</v>
      </c>
      <c r="G150" s="3" t="s">
        <v>870</v>
      </c>
      <c r="H150" s="1" t="s">
        <v>1058</v>
      </c>
      <c r="I150" s="1" t="s">
        <v>1240</v>
      </c>
      <c r="J150" s="1" t="s">
        <v>1422</v>
      </c>
      <c r="K150" s="1" t="s">
        <v>1608</v>
      </c>
    </row>
    <row r="151" spans="1:11" x14ac:dyDescent="0.2">
      <c r="B151" s="1" t="s">
        <v>110</v>
      </c>
      <c r="C151" s="1" t="s">
        <v>300</v>
      </c>
      <c r="D151" s="1" t="s">
        <v>300</v>
      </c>
      <c r="E151" s="1" t="s">
        <v>501</v>
      </c>
      <c r="F151" s="1" t="s">
        <v>687</v>
      </c>
      <c r="G151" s="1" t="s">
        <v>871</v>
      </c>
      <c r="H151" s="1" t="s">
        <v>1059</v>
      </c>
      <c r="I151" s="1" t="s">
        <v>1241</v>
      </c>
      <c r="J151" s="1" t="s">
        <v>1423</v>
      </c>
      <c r="K151" s="1" t="s">
        <v>1609</v>
      </c>
    </row>
    <row r="152" spans="1:11" x14ac:dyDescent="0.2">
      <c r="B152" s="1" t="s">
        <v>126</v>
      </c>
      <c r="C152" s="1" t="s">
        <v>316</v>
      </c>
      <c r="D152" s="1" t="s">
        <v>316</v>
      </c>
      <c r="E152" s="1" t="s">
        <v>502</v>
      </c>
      <c r="F152" s="1" t="s">
        <v>688</v>
      </c>
      <c r="G152" s="3" t="s">
        <v>872</v>
      </c>
      <c r="H152" s="1" t="s">
        <v>1060</v>
      </c>
      <c r="I152" s="1" t="s">
        <v>1242</v>
      </c>
      <c r="J152" s="1" t="s">
        <v>1424</v>
      </c>
      <c r="K152" s="1" t="s">
        <v>1610</v>
      </c>
    </row>
    <row r="153" spans="1:11" x14ac:dyDescent="0.2">
      <c r="B153" s="1" t="s">
        <v>79</v>
      </c>
      <c r="C153" s="1" t="s">
        <v>79</v>
      </c>
      <c r="D153" s="1" t="s">
        <v>79</v>
      </c>
      <c r="E153" s="1" t="s">
        <v>503</v>
      </c>
      <c r="F153" s="1" t="s">
        <v>689</v>
      </c>
      <c r="G153" s="1" t="s">
        <v>873</v>
      </c>
      <c r="H153" s="1" t="s">
        <v>1061</v>
      </c>
      <c r="I153" s="1" t="s">
        <v>1243</v>
      </c>
      <c r="J153" s="1" t="s">
        <v>1425</v>
      </c>
      <c r="K153" s="1" t="s">
        <v>1611</v>
      </c>
    </row>
    <row r="154" spans="1:11" x14ac:dyDescent="0.2">
      <c r="B154" s="1" t="s">
        <v>112</v>
      </c>
      <c r="C154" s="1" t="s">
        <v>302</v>
      </c>
      <c r="D154" s="1" t="s">
        <v>302</v>
      </c>
      <c r="E154" s="1" t="s">
        <v>504</v>
      </c>
      <c r="F154" s="1" t="s">
        <v>690</v>
      </c>
      <c r="G154" s="1" t="s">
        <v>874</v>
      </c>
      <c r="H154" s="1" t="s">
        <v>1062</v>
      </c>
      <c r="I154" s="1" t="s">
        <v>1244</v>
      </c>
      <c r="J154" s="1" t="s">
        <v>1426</v>
      </c>
      <c r="K154" s="1" t="s">
        <v>1612</v>
      </c>
    </row>
    <row r="155" spans="1:11" x14ac:dyDescent="0.2">
      <c r="A155" s="1" t="s">
        <v>1671</v>
      </c>
      <c r="B155" s="4" t="s">
        <v>1684</v>
      </c>
      <c r="E155" s="4" t="s">
        <v>1684</v>
      </c>
      <c r="G155" s="4" t="s">
        <v>1684</v>
      </c>
      <c r="J155" s="4" t="s">
        <v>1684</v>
      </c>
    </row>
    <row r="156" spans="1:11" x14ac:dyDescent="0.2">
      <c r="B156" s="1" t="s">
        <v>0</v>
      </c>
      <c r="C156" s="1" t="s">
        <v>0</v>
      </c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  <c r="I156" s="1" t="s">
        <v>0</v>
      </c>
      <c r="J156" s="1" t="s">
        <v>0</v>
      </c>
      <c r="K156" s="1" t="s">
        <v>0</v>
      </c>
    </row>
    <row r="157" spans="1:11" x14ac:dyDescent="0.2">
      <c r="B157" s="1" t="s">
        <v>127</v>
      </c>
      <c r="C157" s="1" t="s">
        <v>317</v>
      </c>
      <c r="D157" s="1" t="s">
        <v>317</v>
      </c>
      <c r="E157" s="1" t="s">
        <v>505</v>
      </c>
      <c r="F157" s="1" t="s">
        <v>691</v>
      </c>
      <c r="G157" s="1" t="s">
        <v>875</v>
      </c>
      <c r="H157" s="1" t="s">
        <v>1063</v>
      </c>
      <c r="I157" s="1" t="s">
        <v>1245</v>
      </c>
      <c r="J157" s="1" t="s">
        <v>1427</v>
      </c>
      <c r="K157" s="1" t="s">
        <v>1613</v>
      </c>
    </row>
    <row r="158" spans="1:11" x14ac:dyDescent="0.2">
      <c r="A158" s="1" t="s">
        <v>1672</v>
      </c>
      <c r="B158" s="1" t="s">
        <v>128</v>
      </c>
      <c r="C158" s="1" t="s">
        <v>318</v>
      </c>
      <c r="D158" s="1" t="s">
        <v>318</v>
      </c>
      <c r="E158" s="1" t="s">
        <v>506</v>
      </c>
      <c r="F158" s="1" t="s">
        <v>692</v>
      </c>
      <c r="G158" s="1" t="s">
        <v>876</v>
      </c>
      <c r="H158" s="1" t="s">
        <v>1064</v>
      </c>
      <c r="I158" s="1" t="s">
        <v>1246</v>
      </c>
      <c r="J158" s="1" t="s">
        <v>1428</v>
      </c>
      <c r="K158" s="1" t="s">
        <v>1614</v>
      </c>
    </row>
    <row r="159" spans="1:11" x14ac:dyDescent="0.2">
      <c r="A159" s="1" t="s">
        <v>1673</v>
      </c>
      <c r="B159" s="1" t="s">
        <v>129</v>
      </c>
      <c r="C159" s="1" t="s">
        <v>319</v>
      </c>
      <c r="D159" s="1" t="s">
        <v>319</v>
      </c>
      <c r="E159" s="1" t="s">
        <v>507</v>
      </c>
      <c r="F159" s="1" t="s">
        <v>693</v>
      </c>
      <c r="G159" s="1" t="s">
        <v>877</v>
      </c>
      <c r="H159" s="1" t="s">
        <v>1065</v>
      </c>
      <c r="I159" s="1" t="s">
        <v>1247</v>
      </c>
      <c r="J159" s="1" t="s">
        <v>1429</v>
      </c>
      <c r="K159" s="1" t="s">
        <v>1615</v>
      </c>
    </row>
    <row r="160" spans="1:11" x14ac:dyDescent="0.2">
      <c r="A160" s="1" t="s">
        <v>1674</v>
      </c>
      <c r="B160" s="1" t="s">
        <v>130</v>
      </c>
      <c r="C160" s="1" t="s">
        <v>320</v>
      </c>
      <c r="D160" s="1" t="s">
        <v>320</v>
      </c>
      <c r="E160" s="1" t="s">
        <v>508</v>
      </c>
      <c r="F160" s="1" t="s">
        <v>694</v>
      </c>
      <c r="G160" s="1" t="s">
        <v>878</v>
      </c>
      <c r="H160" s="1" t="s">
        <v>1066</v>
      </c>
      <c r="I160" s="1" t="s">
        <v>1248</v>
      </c>
      <c r="J160" s="1" t="s">
        <v>1430</v>
      </c>
      <c r="K160" s="1" t="s">
        <v>1616</v>
      </c>
    </row>
    <row r="161" spans="1:11" x14ac:dyDescent="0.2">
      <c r="A161" s="1" t="s">
        <v>1675</v>
      </c>
      <c r="B161" s="1" t="s">
        <v>131</v>
      </c>
      <c r="C161" s="1" t="s">
        <v>321</v>
      </c>
      <c r="D161" s="1" t="s">
        <v>321</v>
      </c>
      <c r="E161" s="1" t="s">
        <v>509</v>
      </c>
      <c r="F161" s="1" t="s">
        <v>695</v>
      </c>
      <c r="G161" s="1" t="s">
        <v>879</v>
      </c>
      <c r="H161" s="1" t="s">
        <v>1067</v>
      </c>
      <c r="I161" s="1" t="s">
        <v>1249</v>
      </c>
      <c r="J161" s="1" t="s">
        <v>1431</v>
      </c>
      <c r="K161" s="1" t="s">
        <v>1617</v>
      </c>
    </row>
    <row r="162" spans="1:11" x14ac:dyDescent="0.2">
      <c r="A162" s="1" t="s">
        <v>1676</v>
      </c>
      <c r="B162" s="1" t="s">
        <v>132</v>
      </c>
      <c r="C162" s="1" t="s">
        <v>322</v>
      </c>
      <c r="D162" s="1" t="s">
        <v>322</v>
      </c>
      <c r="E162" s="1" t="s">
        <v>510</v>
      </c>
      <c r="F162" s="1" t="s">
        <v>696</v>
      </c>
      <c r="G162" s="1" t="s">
        <v>880</v>
      </c>
      <c r="H162" s="1" t="s">
        <v>1068</v>
      </c>
      <c r="I162" s="1" t="s">
        <v>1250</v>
      </c>
      <c r="J162" s="1" t="s">
        <v>1432</v>
      </c>
      <c r="K162" s="1" t="s">
        <v>1618</v>
      </c>
    </row>
    <row r="163" spans="1:11" x14ac:dyDescent="0.2">
      <c r="A163" s="1" t="s">
        <v>1677</v>
      </c>
      <c r="B163" s="1" t="s">
        <v>133</v>
      </c>
      <c r="C163" s="1" t="s">
        <v>323</v>
      </c>
      <c r="D163" s="1" t="s">
        <v>323</v>
      </c>
      <c r="E163" s="1" t="s">
        <v>511</v>
      </c>
      <c r="F163" s="1" t="s">
        <v>697</v>
      </c>
      <c r="G163" s="1" t="s">
        <v>881</v>
      </c>
      <c r="H163" s="1" t="s">
        <v>1069</v>
      </c>
      <c r="I163" s="1" t="s">
        <v>1251</v>
      </c>
      <c r="J163" s="1" t="s">
        <v>1433</v>
      </c>
      <c r="K163" s="1" t="s">
        <v>1619</v>
      </c>
    </row>
    <row r="164" spans="1:11" x14ac:dyDescent="0.2">
      <c r="A164" s="1" t="s">
        <v>1678</v>
      </c>
      <c r="B164" s="1" t="s">
        <v>134</v>
      </c>
      <c r="C164" s="1" t="s">
        <v>324</v>
      </c>
      <c r="D164" s="1" t="s">
        <v>324</v>
      </c>
      <c r="E164" s="1" t="s">
        <v>512</v>
      </c>
      <c r="F164" s="1" t="s">
        <v>698</v>
      </c>
      <c r="G164" s="1" t="s">
        <v>882</v>
      </c>
      <c r="H164" s="1" t="s">
        <v>1070</v>
      </c>
      <c r="I164" s="1" t="s">
        <v>1252</v>
      </c>
      <c r="J164" s="1" t="s">
        <v>1434</v>
      </c>
      <c r="K164" s="1" t="s">
        <v>1620</v>
      </c>
    </row>
    <row r="165" spans="1:11" x14ac:dyDescent="0.2">
      <c r="A165" s="1" t="s">
        <v>1679</v>
      </c>
      <c r="B165" s="1" t="s">
        <v>135</v>
      </c>
      <c r="C165" s="1" t="s">
        <v>325</v>
      </c>
      <c r="D165" s="1" t="s">
        <v>325</v>
      </c>
      <c r="E165" s="1" t="s">
        <v>513</v>
      </c>
      <c r="F165" s="1" t="s">
        <v>699</v>
      </c>
      <c r="G165" s="1" t="s">
        <v>883</v>
      </c>
      <c r="H165" s="1" t="s">
        <v>699</v>
      </c>
      <c r="I165" s="1" t="s">
        <v>714</v>
      </c>
      <c r="J165" s="1" t="s">
        <v>1435</v>
      </c>
      <c r="K165" s="1" t="s">
        <v>714</v>
      </c>
    </row>
    <row r="166" spans="1:11" x14ac:dyDescent="0.2">
      <c r="A166" s="1" t="s">
        <v>1680</v>
      </c>
      <c r="B166" s="1" t="s">
        <v>136</v>
      </c>
      <c r="C166" s="1" t="s">
        <v>326</v>
      </c>
      <c r="D166" s="1" t="s">
        <v>326</v>
      </c>
      <c r="E166" s="1" t="s">
        <v>514</v>
      </c>
      <c r="F166" s="1" t="s">
        <v>700</v>
      </c>
      <c r="G166" s="1" t="s">
        <v>884</v>
      </c>
      <c r="H166" s="1" t="s">
        <v>1071</v>
      </c>
      <c r="I166" s="1" t="s">
        <v>1253</v>
      </c>
      <c r="J166" s="1" t="s">
        <v>1436</v>
      </c>
      <c r="K166" s="1" t="s">
        <v>1621</v>
      </c>
    </row>
    <row r="167" spans="1:11" x14ac:dyDescent="0.2">
      <c r="A167" s="1" t="s">
        <v>1681</v>
      </c>
      <c r="B167" s="1" t="s">
        <v>137</v>
      </c>
      <c r="C167" s="1" t="s">
        <v>327</v>
      </c>
      <c r="D167" s="1" t="s">
        <v>327</v>
      </c>
      <c r="E167" s="1" t="s">
        <v>515</v>
      </c>
      <c r="F167" s="1" t="s">
        <v>701</v>
      </c>
      <c r="G167" s="1" t="s">
        <v>885</v>
      </c>
      <c r="H167" s="1" t="s">
        <v>1072</v>
      </c>
      <c r="I167" s="1" t="s">
        <v>1254</v>
      </c>
      <c r="J167" s="1" t="s">
        <v>1437</v>
      </c>
      <c r="K167" s="1" t="s">
        <v>1622</v>
      </c>
    </row>
    <row r="168" spans="1:11" x14ac:dyDescent="0.2">
      <c r="A168" s="1" t="s">
        <v>1682</v>
      </c>
      <c r="B168" s="1" t="s">
        <v>138</v>
      </c>
      <c r="C168" s="1" t="s">
        <v>328</v>
      </c>
      <c r="D168" s="1" t="s">
        <v>328</v>
      </c>
      <c r="E168" s="1" t="s">
        <v>516</v>
      </c>
      <c r="F168" s="1" t="s">
        <v>702</v>
      </c>
      <c r="G168" s="1" t="s">
        <v>886</v>
      </c>
      <c r="H168" s="1" t="s">
        <v>1073</v>
      </c>
      <c r="I168" s="1" t="s">
        <v>1255</v>
      </c>
      <c r="J168" s="1" t="s">
        <v>1438</v>
      </c>
      <c r="K168" s="1" t="s">
        <v>1623</v>
      </c>
    </row>
    <row r="169" spans="1:11" x14ac:dyDescent="0.2">
      <c r="A169" s="1" t="s">
        <v>1683</v>
      </c>
      <c r="B169" s="1" t="s">
        <v>139</v>
      </c>
      <c r="C169" s="1" t="s">
        <v>329</v>
      </c>
      <c r="D169" s="1" t="s">
        <v>329</v>
      </c>
      <c r="E169" s="1" t="s">
        <v>517</v>
      </c>
      <c r="F169" s="1" t="s">
        <v>703</v>
      </c>
      <c r="G169" s="1" t="s">
        <v>887</v>
      </c>
      <c r="H169" s="1" t="s">
        <v>1074</v>
      </c>
      <c r="I169" s="1" t="s">
        <v>1256</v>
      </c>
      <c r="J169" s="1" t="s">
        <v>1439</v>
      </c>
      <c r="K169" s="1" t="s">
        <v>1624</v>
      </c>
    </row>
    <row r="170" spans="1:11" x14ac:dyDescent="0.2">
      <c r="B170" s="1" t="s">
        <v>140</v>
      </c>
      <c r="C170" s="1" t="s">
        <v>330</v>
      </c>
      <c r="D170" s="1" t="s">
        <v>330</v>
      </c>
      <c r="E170" s="1" t="s">
        <v>518</v>
      </c>
      <c r="F170" s="1" t="s">
        <v>704</v>
      </c>
      <c r="G170" s="1" t="s">
        <v>888</v>
      </c>
      <c r="H170" s="1" t="s">
        <v>1075</v>
      </c>
      <c r="I170" s="1" t="s">
        <v>1257</v>
      </c>
      <c r="J170" s="1" t="s">
        <v>1440</v>
      </c>
      <c r="K170" s="1" t="s">
        <v>1625</v>
      </c>
    </row>
    <row r="171" spans="1:11" x14ac:dyDescent="0.2">
      <c r="B171" s="1" t="s">
        <v>141</v>
      </c>
      <c r="C171" s="1" t="s">
        <v>331</v>
      </c>
      <c r="D171" s="1" t="s">
        <v>331</v>
      </c>
      <c r="E171" s="1" t="s">
        <v>519</v>
      </c>
      <c r="F171" s="1" t="s">
        <v>705</v>
      </c>
      <c r="G171" s="1" t="s">
        <v>889</v>
      </c>
      <c r="H171" s="1" t="s">
        <v>1076</v>
      </c>
      <c r="I171" s="1" t="s">
        <v>1258</v>
      </c>
      <c r="J171" s="1" t="s">
        <v>1441</v>
      </c>
      <c r="K171" s="1" t="s">
        <v>1626</v>
      </c>
    </row>
    <row r="172" spans="1:11" x14ac:dyDescent="0.2">
      <c r="B172" s="1" t="s">
        <v>142</v>
      </c>
      <c r="C172" s="1" t="s">
        <v>332</v>
      </c>
      <c r="D172" s="1" t="s">
        <v>332</v>
      </c>
      <c r="E172" s="1" t="s">
        <v>520</v>
      </c>
      <c r="G172" s="1" t="s">
        <v>890</v>
      </c>
      <c r="J172" s="1" t="s">
        <v>1442</v>
      </c>
    </row>
    <row r="173" spans="1:11" x14ac:dyDescent="0.2">
      <c r="B173" s="1" t="s">
        <v>143</v>
      </c>
      <c r="C173" s="1" t="s">
        <v>333</v>
      </c>
      <c r="D173" s="1" t="s">
        <v>333</v>
      </c>
      <c r="E173" s="1" t="s">
        <v>521</v>
      </c>
      <c r="F173" s="1" t="s">
        <v>0</v>
      </c>
      <c r="G173" s="1" t="s">
        <v>891</v>
      </c>
      <c r="H173" s="1" t="s">
        <v>0</v>
      </c>
      <c r="I173" s="1" t="s">
        <v>0</v>
      </c>
      <c r="J173" s="1" t="s">
        <v>1443</v>
      </c>
      <c r="K173" s="1" t="s">
        <v>0</v>
      </c>
    </row>
    <row r="174" spans="1:11" x14ac:dyDescent="0.2">
      <c r="B174" s="1" t="s">
        <v>63</v>
      </c>
      <c r="C174" s="1" t="s">
        <v>63</v>
      </c>
      <c r="D174" s="1" t="s">
        <v>63</v>
      </c>
      <c r="E174" s="1" t="s">
        <v>63</v>
      </c>
      <c r="F174" s="1" t="s">
        <v>706</v>
      </c>
      <c r="G174" s="1" t="s">
        <v>63</v>
      </c>
      <c r="H174" s="1" t="s">
        <v>1077</v>
      </c>
      <c r="I174" s="1" t="s">
        <v>1259</v>
      </c>
      <c r="J174" s="1" t="s">
        <v>63</v>
      </c>
      <c r="K174" s="1" t="s">
        <v>1627</v>
      </c>
    </row>
    <row r="175" spans="1:11" x14ac:dyDescent="0.2">
      <c r="B175" s="1" t="s">
        <v>144</v>
      </c>
      <c r="C175" s="1" t="s">
        <v>334</v>
      </c>
      <c r="D175" s="1" t="s">
        <v>334</v>
      </c>
      <c r="E175" s="1" t="s">
        <v>522</v>
      </c>
      <c r="F175" s="1" t="s">
        <v>707</v>
      </c>
      <c r="G175" s="1" t="s">
        <v>892</v>
      </c>
      <c r="H175" s="1" t="s">
        <v>1078</v>
      </c>
      <c r="I175" s="1" t="s">
        <v>1260</v>
      </c>
      <c r="J175" s="1" t="s">
        <v>1444</v>
      </c>
      <c r="K175" s="1" t="s">
        <v>1628</v>
      </c>
    </row>
    <row r="176" spans="1:11" x14ac:dyDescent="0.2">
      <c r="A176" s="1" t="s">
        <v>1671</v>
      </c>
      <c r="B176" s="4" t="s">
        <v>1684</v>
      </c>
      <c r="E176" s="4" t="s">
        <v>1684</v>
      </c>
      <c r="F176" s="1" t="s">
        <v>708</v>
      </c>
      <c r="G176" s="4" t="s">
        <v>1684</v>
      </c>
      <c r="H176" s="1" t="s">
        <v>1079</v>
      </c>
      <c r="I176" s="1" t="s">
        <v>1261</v>
      </c>
      <c r="J176" s="4" t="s">
        <v>1684</v>
      </c>
      <c r="K176" s="1" t="s">
        <v>1629</v>
      </c>
    </row>
    <row r="177" spans="1:11" x14ac:dyDescent="0.2">
      <c r="B177" s="1" t="s">
        <v>0</v>
      </c>
      <c r="C177" s="1" t="s">
        <v>0</v>
      </c>
      <c r="D177" s="1" t="s">
        <v>0</v>
      </c>
      <c r="E177" s="1" t="s">
        <v>0</v>
      </c>
      <c r="F177" s="1" t="s">
        <v>709</v>
      </c>
      <c r="G177" s="1" t="s">
        <v>0</v>
      </c>
      <c r="H177" s="1" t="s">
        <v>1080</v>
      </c>
      <c r="I177" s="1" t="s">
        <v>1262</v>
      </c>
      <c r="J177" s="1" t="s">
        <v>0</v>
      </c>
      <c r="K177" s="1" t="s">
        <v>1630</v>
      </c>
    </row>
    <row r="178" spans="1:11" x14ac:dyDescent="0.2">
      <c r="B178" s="1" t="s">
        <v>145</v>
      </c>
      <c r="C178" s="1" t="s">
        <v>335</v>
      </c>
      <c r="D178" s="1" t="s">
        <v>335</v>
      </c>
      <c r="E178" s="1" t="s">
        <v>523</v>
      </c>
      <c r="F178" s="1" t="s">
        <v>710</v>
      </c>
      <c r="G178" s="1" t="s">
        <v>893</v>
      </c>
      <c r="H178" s="1" t="s">
        <v>1081</v>
      </c>
      <c r="I178" s="1" t="s">
        <v>1263</v>
      </c>
      <c r="J178" s="1" t="s">
        <v>1445</v>
      </c>
      <c r="K178" s="1" t="s">
        <v>1631</v>
      </c>
    </row>
    <row r="179" spans="1:11" x14ac:dyDescent="0.2">
      <c r="A179" s="1" t="s">
        <v>1672</v>
      </c>
      <c r="B179" s="1" t="s">
        <v>146</v>
      </c>
      <c r="C179" s="1" t="s">
        <v>336</v>
      </c>
      <c r="D179" s="1" t="s">
        <v>336</v>
      </c>
      <c r="E179" s="1" t="s">
        <v>524</v>
      </c>
      <c r="F179" s="1" t="s">
        <v>711</v>
      </c>
      <c r="G179" s="1" t="s">
        <v>894</v>
      </c>
      <c r="H179" s="1" t="s">
        <v>1082</v>
      </c>
      <c r="I179" s="1" t="s">
        <v>1264</v>
      </c>
      <c r="J179" s="1" t="s">
        <v>1446</v>
      </c>
      <c r="K179" s="1" t="s">
        <v>1632</v>
      </c>
    </row>
    <row r="180" spans="1:11" x14ac:dyDescent="0.2">
      <c r="A180" s="1" t="s">
        <v>1673</v>
      </c>
      <c r="B180" s="1" t="s">
        <v>147</v>
      </c>
      <c r="C180" s="1" t="s">
        <v>337</v>
      </c>
      <c r="D180" s="1" t="s">
        <v>337</v>
      </c>
      <c r="E180" s="1" t="s">
        <v>525</v>
      </c>
      <c r="F180" s="1" t="s">
        <v>712</v>
      </c>
      <c r="G180" s="1" t="s">
        <v>895</v>
      </c>
      <c r="H180" s="1" t="s">
        <v>1083</v>
      </c>
      <c r="I180" s="1" t="s">
        <v>1265</v>
      </c>
      <c r="J180" s="1" t="s">
        <v>1447</v>
      </c>
      <c r="K180" s="1" t="s">
        <v>1633</v>
      </c>
    </row>
    <row r="181" spans="1:11" x14ac:dyDescent="0.2">
      <c r="A181" s="1" t="s">
        <v>1674</v>
      </c>
      <c r="B181" s="1" t="s">
        <v>148</v>
      </c>
      <c r="C181" s="1" t="s">
        <v>338</v>
      </c>
      <c r="D181" s="1" t="s">
        <v>338</v>
      </c>
      <c r="E181" s="1" t="s">
        <v>526</v>
      </c>
      <c r="F181" s="1" t="s">
        <v>713</v>
      </c>
      <c r="G181" s="1" t="s">
        <v>896</v>
      </c>
      <c r="H181" s="1" t="s">
        <v>1084</v>
      </c>
      <c r="I181" s="1" t="s">
        <v>1266</v>
      </c>
      <c r="J181" s="1" t="s">
        <v>1448</v>
      </c>
      <c r="K181" s="1" t="s">
        <v>1634</v>
      </c>
    </row>
    <row r="182" spans="1:11" x14ac:dyDescent="0.2">
      <c r="A182" s="1" t="s">
        <v>1675</v>
      </c>
      <c r="B182" s="1" t="s">
        <v>149</v>
      </c>
      <c r="C182" s="1" t="s">
        <v>339</v>
      </c>
      <c r="D182" s="1" t="s">
        <v>339</v>
      </c>
      <c r="E182" s="1" t="s">
        <v>527</v>
      </c>
      <c r="F182" s="1" t="s">
        <v>714</v>
      </c>
      <c r="G182" s="1" t="s">
        <v>897</v>
      </c>
      <c r="H182" s="1" t="s">
        <v>714</v>
      </c>
      <c r="I182" s="1" t="s">
        <v>714</v>
      </c>
      <c r="J182" s="1" t="s">
        <v>1449</v>
      </c>
      <c r="K182" s="1" t="s">
        <v>699</v>
      </c>
    </row>
    <row r="183" spans="1:11" x14ac:dyDescent="0.2">
      <c r="A183" s="1" t="s">
        <v>1676</v>
      </c>
      <c r="B183" s="1" t="s">
        <v>150</v>
      </c>
      <c r="C183" s="1" t="s">
        <v>340</v>
      </c>
      <c r="D183" s="1" t="s">
        <v>340</v>
      </c>
      <c r="E183" s="1" t="s">
        <v>528</v>
      </c>
      <c r="F183" s="1" t="s">
        <v>715</v>
      </c>
      <c r="G183" s="1" t="s">
        <v>898</v>
      </c>
      <c r="H183" s="1" t="s">
        <v>1085</v>
      </c>
      <c r="I183" s="1" t="s">
        <v>1267</v>
      </c>
      <c r="J183" s="1" t="s">
        <v>1450</v>
      </c>
      <c r="K183" s="1" t="s">
        <v>1635</v>
      </c>
    </row>
    <row r="184" spans="1:11" x14ac:dyDescent="0.2">
      <c r="A184" s="1" t="s">
        <v>1677</v>
      </c>
      <c r="B184" s="1" t="s">
        <v>151</v>
      </c>
      <c r="C184" s="1" t="s">
        <v>341</v>
      </c>
      <c r="D184" s="1" t="s">
        <v>341</v>
      </c>
      <c r="E184" s="1" t="s">
        <v>529</v>
      </c>
      <c r="F184" s="1" t="s">
        <v>716</v>
      </c>
      <c r="G184" s="1" t="s">
        <v>899</v>
      </c>
      <c r="H184" s="1" t="s">
        <v>1086</v>
      </c>
      <c r="I184" s="1" t="s">
        <v>1268</v>
      </c>
      <c r="J184" s="1" t="s">
        <v>1451</v>
      </c>
      <c r="K184" s="1" t="s">
        <v>1636</v>
      </c>
    </row>
    <row r="185" spans="1:11" x14ac:dyDescent="0.2">
      <c r="A185" s="1" t="s">
        <v>1678</v>
      </c>
      <c r="B185" s="1" t="s">
        <v>152</v>
      </c>
      <c r="C185" s="1" t="s">
        <v>342</v>
      </c>
      <c r="D185" s="1" t="s">
        <v>342</v>
      </c>
      <c r="E185" s="1" t="s">
        <v>530</v>
      </c>
      <c r="F185" s="1" t="s">
        <v>717</v>
      </c>
      <c r="G185" s="1" t="s">
        <v>900</v>
      </c>
      <c r="H185" s="1" t="s">
        <v>1087</v>
      </c>
      <c r="I185" s="1" t="s">
        <v>1269</v>
      </c>
      <c r="J185" s="1" t="s">
        <v>1452</v>
      </c>
      <c r="K185" s="1" t="s">
        <v>1637</v>
      </c>
    </row>
    <row r="186" spans="1:11" x14ac:dyDescent="0.2">
      <c r="A186" s="1" t="s">
        <v>1679</v>
      </c>
      <c r="B186" s="1" t="s">
        <v>153</v>
      </c>
      <c r="C186" s="1" t="s">
        <v>343</v>
      </c>
      <c r="D186" s="1" t="s">
        <v>343</v>
      </c>
      <c r="E186" s="1" t="s">
        <v>531</v>
      </c>
      <c r="F186" s="1" t="s">
        <v>718</v>
      </c>
      <c r="G186" s="1" t="s">
        <v>901</v>
      </c>
      <c r="H186" s="1" t="s">
        <v>1088</v>
      </c>
      <c r="I186" s="1" t="s">
        <v>1270</v>
      </c>
      <c r="J186" s="1" t="s">
        <v>1453</v>
      </c>
      <c r="K186" s="1" t="s">
        <v>1638</v>
      </c>
    </row>
    <row r="187" spans="1:11" x14ac:dyDescent="0.2">
      <c r="A187" s="1" t="s">
        <v>1680</v>
      </c>
      <c r="B187" s="1" t="s">
        <v>154</v>
      </c>
      <c r="C187" s="1" t="s">
        <v>344</v>
      </c>
      <c r="D187" s="1" t="s">
        <v>344</v>
      </c>
      <c r="E187" s="1" t="s">
        <v>532</v>
      </c>
      <c r="F187" s="1" t="s">
        <v>719</v>
      </c>
      <c r="G187" s="1" t="s">
        <v>902</v>
      </c>
      <c r="H187" s="1" t="s">
        <v>1089</v>
      </c>
      <c r="I187" s="1" t="s">
        <v>1271</v>
      </c>
      <c r="J187" s="1" t="s">
        <v>1454</v>
      </c>
      <c r="K187" s="1" t="s">
        <v>1639</v>
      </c>
    </row>
    <row r="188" spans="1:11" x14ac:dyDescent="0.2">
      <c r="A188" s="1" t="s">
        <v>1681</v>
      </c>
      <c r="B188" s="1" t="s">
        <v>155</v>
      </c>
      <c r="C188" s="1" t="s">
        <v>345</v>
      </c>
      <c r="D188" s="1" t="s">
        <v>345</v>
      </c>
      <c r="E188" s="1" t="s">
        <v>533</v>
      </c>
      <c r="F188" s="1" t="s">
        <v>720</v>
      </c>
      <c r="G188" s="1" t="s">
        <v>903</v>
      </c>
      <c r="H188" s="1" t="s">
        <v>1090</v>
      </c>
      <c r="I188" s="1" t="s">
        <v>1272</v>
      </c>
      <c r="J188" s="1" t="s">
        <v>1455</v>
      </c>
      <c r="K188" s="1" t="s">
        <v>1640</v>
      </c>
    </row>
    <row r="189" spans="1:11" x14ac:dyDescent="0.2">
      <c r="A189" s="1" t="s">
        <v>1682</v>
      </c>
      <c r="B189" s="1" t="s">
        <v>156</v>
      </c>
      <c r="C189" s="1" t="s">
        <v>346</v>
      </c>
      <c r="D189" s="1" t="s">
        <v>346</v>
      </c>
      <c r="E189" s="1" t="s">
        <v>534</v>
      </c>
      <c r="G189" s="1" t="s">
        <v>904</v>
      </c>
      <c r="J189" s="1" t="s">
        <v>1456</v>
      </c>
    </row>
    <row r="190" spans="1:11" x14ac:dyDescent="0.2">
      <c r="A190" s="1" t="s">
        <v>1683</v>
      </c>
      <c r="B190" s="1" t="s">
        <v>157</v>
      </c>
      <c r="C190" s="1" t="s">
        <v>347</v>
      </c>
      <c r="D190" s="1" t="s">
        <v>347</v>
      </c>
      <c r="E190" s="1" t="s">
        <v>535</v>
      </c>
      <c r="F190" s="1" t="s">
        <v>0</v>
      </c>
      <c r="G190" s="1" t="s">
        <v>905</v>
      </c>
      <c r="H190" s="1" t="s">
        <v>0</v>
      </c>
      <c r="I190" s="1" t="s">
        <v>0</v>
      </c>
      <c r="J190" s="1" t="s">
        <v>1457</v>
      </c>
      <c r="K190" s="1" t="s">
        <v>0</v>
      </c>
    </row>
    <row r="191" spans="1:11" x14ac:dyDescent="0.2">
      <c r="B191" s="1" t="s">
        <v>140</v>
      </c>
      <c r="C191" s="1" t="s">
        <v>330</v>
      </c>
      <c r="D191" s="1" t="s">
        <v>330</v>
      </c>
      <c r="E191" s="1" t="s">
        <v>518</v>
      </c>
      <c r="F191" s="1" t="s">
        <v>721</v>
      </c>
      <c r="G191" s="1" t="s">
        <v>888</v>
      </c>
      <c r="H191" s="1" t="s">
        <v>1091</v>
      </c>
      <c r="I191" s="1" t="s">
        <v>1273</v>
      </c>
      <c r="J191" s="1" t="s">
        <v>1440</v>
      </c>
      <c r="K191" s="1" t="s">
        <v>1641</v>
      </c>
    </row>
    <row r="192" spans="1:11" x14ac:dyDescent="0.2">
      <c r="B192" s="1" t="s">
        <v>141</v>
      </c>
      <c r="C192" s="1" t="s">
        <v>331</v>
      </c>
      <c r="D192" s="1" t="s">
        <v>331</v>
      </c>
      <c r="E192" s="1" t="s">
        <v>519</v>
      </c>
      <c r="F192" s="1" t="s">
        <v>722</v>
      </c>
      <c r="G192" s="1" t="s">
        <v>889</v>
      </c>
      <c r="H192" s="1" t="s">
        <v>1092</v>
      </c>
      <c r="I192" s="1" t="s">
        <v>1274</v>
      </c>
      <c r="J192" s="1" t="s">
        <v>1441</v>
      </c>
      <c r="K192" s="1" t="s">
        <v>1642</v>
      </c>
    </row>
    <row r="193" spans="1:11" x14ac:dyDescent="0.2">
      <c r="B193" s="1" t="s">
        <v>142</v>
      </c>
      <c r="C193" s="1" t="s">
        <v>332</v>
      </c>
      <c r="D193" s="1" t="s">
        <v>332</v>
      </c>
      <c r="E193" s="1" t="s">
        <v>520</v>
      </c>
      <c r="F193" s="1" t="s">
        <v>723</v>
      </c>
      <c r="G193" s="1" t="s">
        <v>890</v>
      </c>
      <c r="H193" s="1" t="s">
        <v>1093</v>
      </c>
      <c r="I193" s="1" t="s">
        <v>1275</v>
      </c>
      <c r="J193" s="1" t="s">
        <v>1442</v>
      </c>
      <c r="K193" s="1" t="s">
        <v>1643</v>
      </c>
    </row>
    <row r="194" spans="1:11" x14ac:dyDescent="0.2">
      <c r="B194" s="1" t="s">
        <v>158</v>
      </c>
      <c r="C194" s="1" t="s">
        <v>348</v>
      </c>
      <c r="D194" s="1" t="s">
        <v>348</v>
      </c>
      <c r="E194" s="1" t="s">
        <v>536</v>
      </c>
      <c r="F194" s="1" t="s">
        <v>724</v>
      </c>
      <c r="G194" s="1" t="s">
        <v>906</v>
      </c>
      <c r="H194" s="1" t="s">
        <v>1094</v>
      </c>
      <c r="I194" s="1" t="s">
        <v>1276</v>
      </c>
      <c r="J194" s="1" t="s">
        <v>1458</v>
      </c>
      <c r="K194" s="1" t="s">
        <v>1644</v>
      </c>
    </row>
    <row r="195" spans="1:11" x14ac:dyDescent="0.2">
      <c r="B195" s="1" t="s">
        <v>79</v>
      </c>
      <c r="C195" s="1" t="s">
        <v>79</v>
      </c>
      <c r="D195" s="1" t="s">
        <v>79</v>
      </c>
      <c r="E195" s="1" t="s">
        <v>79</v>
      </c>
      <c r="F195" s="1" t="s">
        <v>725</v>
      </c>
      <c r="G195" s="1" t="s">
        <v>79</v>
      </c>
      <c r="H195" s="1" t="s">
        <v>1095</v>
      </c>
      <c r="I195" s="1" t="s">
        <v>1277</v>
      </c>
      <c r="J195" s="1" t="s">
        <v>79</v>
      </c>
      <c r="K195" s="1" t="s">
        <v>1645</v>
      </c>
    </row>
    <row r="196" spans="1:11" x14ac:dyDescent="0.2">
      <c r="B196" s="1" t="s">
        <v>144</v>
      </c>
      <c r="C196" s="1" t="s">
        <v>334</v>
      </c>
      <c r="D196" s="1" t="s">
        <v>334</v>
      </c>
      <c r="E196" s="1" t="s">
        <v>522</v>
      </c>
      <c r="F196" s="1" t="s">
        <v>726</v>
      </c>
      <c r="G196" s="1" t="s">
        <v>892</v>
      </c>
      <c r="H196" s="1" t="s">
        <v>1096</v>
      </c>
      <c r="I196" s="1" t="s">
        <v>1278</v>
      </c>
      <c r="J196" s="1" t="s">
        <v>1444</v>
      </c>
      <c r="K196" s="1" t="s">
        <v>1646</v>
      </c>
    </row>
    <row r="197" spans="1:11" x14ac:dyDescent="0.2">
      <c r="A197" s="1" t="s">
        <v>1671</v>
      </c>
      <c r="B197" s="4" t="s">
        <v>1684</v>
      </c>
      <c r="E197" s="4" t="s">
        <v>1684</v>
      </c>
      <c r="F197" s="1" t="s">
        <v>727</v>
      </c>
      <c r="G197" s="4" t="s">
        <v>1684</v>
      </c>
      <c r="H197" s="1" t="s">
        <v>1097</v>
      </c>
      <c r="I197" s="1" t="s">
        <v>1279</v>
      </c>
      <c r="J197" s="4" t="s">
        <v>1684</v>
      </c>
      <c r="K197" s="1" t="s">
        <v>1647</v>
      </c>
    </row>
    <row r="198" spans="1:11" x14ac:dyDescent="0.2">
      <c r="B198" s="1" t="s">
        <v>0</v>
      </c>
      <c r="C198" s="1" t="s">
        <v>0</v>
      </c>
      <c r="D198" s="1" t="s">
        <v>0</v>
      </c>
      <c r="E198" s="1" t="s">
        <v>0</v>
      </c>
      <c r="F198" s="1" t="s">
        <v>728</v>
      </c>
      <c r="G198" s="1" t="s">
        <v>0</v>
      </c>
      <c r="H198" s="1" t="s">
        <v>1098</v>
      </c>
      <c r="I198" s="1" t="s">
        <v>1280</v>
      </c>
      <c r="J198" s="1" t="s">
        <v>0</v>
      </c>
      <c r="K198" s="1" t="s">
        <v>1648</v>
      </c>
    </row>
    <row r="199" spans="1:11" x14ac:dyDescent="0.2">
      <c r="B199" s="1" t="s">
        <v>159</v>
      </c>
      <c r="C199" s="1" t="s">
        <v>349</v>
      </c>
      <c r="D199" s="1" t="s">
        <v>349</v>
      </c>
      <c r="E199" s="1" t="s">
        <v>537</v>
      </c>
      <c r="F199" s="1" t="s">
        <v>729</v>
      </c>
      <c r="G199" s="1" t="s">
        <v>907</v>
      </c>
      <c r="H199" s="1" t="s">
        <v>1099</v>
      </c>
      <c r="I199" s="1" t="s">
        <v>1281</v>
      </c>
      <c r="J199" s="1" t="s">
        <v>1459</v>
      </c>
      <c r="K199" s="1" t="s">
        <v>1649</v>
      </c>
    </row>
    <row r="200" spans="1:11" x14ac:dyDescent="0.2">
      <c r="A200" s="1" t="s">
        <v>1672</v>
      </c>
      <c r="B200" s="1" t="s">
        <v>160</v>
      </c>
      <c r="C200" s="1" t="s">
        <v>350</v>
      </c>
      <c r="D200" s="1" t="s">
        <v>350</v>
      </c>
      <c r="E200" s="1" t="s">
        <v>538</v>
      </c>
      <c r="F200" s="1" t="s">
        <v>730</v>
      </c>
      <c r="G200" s="1" t="s">
        <v>908</v>
      </c>
      <c r="H200" s="1" t="s">
        <v>1100</v>
      </c>
      <c r="I200" s="1" t="s">
        <v>1282</v>
      </c>
      <c r="J200" s="1" t="s">
        <v>1460</v>
      </c>
      <c r="K200" s="1" t="s">
        <v>1650</v>
      </c>
    </row>
    <row r="201" spans="1:11" x14ac:dyDescent="0.2">
      <c r="A201" s="1" t="s">
        <v>1673</v>
      </c>
      <c r="B201" s="1" t="s">
        <v>161</v>
      </c>
      <c r="C201" s="1" t="s">
        <v>351</v>
      </c>
      <c r="D201" s="1" t="s">
        <v>351</v>
      </c>
      <c r="E201" s="1" t="s">
        <v>539</v>
      </c>
      <c r="F201" s="1" t="s">
        <v>731</v>
      </c>
      <c r="G201" s="1" t="s">
        <v>909</v>
      </c>
      <c r="H201" s="1" t="s">
        <v>1101</v>
      </c>
      <c r="I201" s="1" t="s">
        <v>1283</v>
      </c>
      <c r="J201" s="1" t="s">
        <v>1461</v>
      </c>
      <c r="K201" s="1" t="s">
        <v>1651</v>
      </c>
    </row>
    <row r="202" spans="1:11" x14ac:dyDescent="0.2">
      <c r="A202" s="1" t="s">
        <v>1674</v>
      </c>
      <c r="B202" s="1" t="s">
        <v>162</v>
      </c>
      <c r="C202" s="1" t="s">
        <v>352</v>
      </c>
      <c r="D202" s="1" t="s">
        <v>352</v>
      </c>
      <c r="E202" s="1" t="s">
        <v>540</v>
      </c>
      <c r="F202" s="1" t="s">
        <v>732</v>
      </c>
      <c r="G202" s="1" t="s">
        <v>910</v>
      </c>
      <c r="H202" s="1" t="s">
        <v>1102</v>
      </c>
      <c r="I202" s="1" t="s">
        <v>1284</v>
      </c>
      <c r="J202" s="1" t="s">
        <v>1462</v>
      </c>
      <c r="K202" s="1" t="s">
        <v>1652</v>
      </c>
    </row>
    <row r="203" spans="1:11" x14ac:dyDescent="0.2">
      <c r="A203" s="1" t="s">
        <v>1675</v>
      </c>
      <c r="B203" s="1" t="s">
        <v>163</v>
      </c>
      <c r="C203" s="1" t="s">
        <v>353</v>
      </c>
      <c r="D203" s="1" t="s">
        <v>353</v>
      </c>
      <c r="E203" s="1" t="s">
        <v>541</v>
      </c>
      <c r="F203" s="1" t="s">
        <v>733</v>
      </c>
      <c r="G203" s="1" t="s">
        <v>911</v>
      </c>
      <c r="H203" s="1" t="s">
        <v>1103</v>
      </c>
      <c r="I203" s="1" t="s">
        <v>1285</v>
      </c>
      <c r="J203" s="1" t="s">
        <v>1463</v>
      </c>
      <c r="K203" s="1" t="s">
        <v>1653</v>
      </c>
    </row>
    <row r="204" spans="1:11" x14ac:dyDescent="0.2">
      <c r="A204" s="1" t="s">
        <v>1676</v>
      </c>
      <c r="B204" s="1" t="s">
        <v>164</v>
      </c>
      <c r="C204" s="1" t="s">
        <v>354</v>
      </c>
      <c r="D204" s="1" t="s">
        <v>354</v>
      </c>
      <c r="E204" s="1" t="s">
        <v>542</v>
      </c>
      <c r="F204" s="1" t="s">
        <v>734</v>
      </c>
      <c r="G204" s="1" t="s">
        <v>912</v>
      </c>
      <c r="H204" s="1" t="s">
        <v>1104</v>
      </c>
      <c r="I204" s="1" t="s">
        <v>1286</v>
      </c>
      <c r="J204" s="1" t="s">
        <v>1464</v>
      </c>
      <c r="K204" s="1" t="s">
        <v>1654</v>
      </c>
    </row>
    <row r="205" spans="1:11" x14ac:dyDescent="0.2">
      <c r="A205" s="1" t="s">
        <v>1677</v>
      </c>
      <c r="B205" s="1" t="s">
        <v>165</v>
      </c>
      <c r="C205" s="1" t="s">
        <v>355</v>
      </c>
      <c r="D205" s="1" t="s">
        <v>355</v>
      </c>
      <c r="E205" s="1" t="s">
        <v>543</v>
      </c>
      <c r="F205" s="1" t="s">
        <v>735</v>
      </c>
      <c r="G205" s="1" t="s">
        <v>913</v>
      </c>
      <c r="H205" s="1" t="s">
        <v>1105</v>
      </c>
      <c r="I205" s="1" t="s">
        <v>1287</v>
      </c>
      <c r="J205" s="1" t="s">
        <v>1465</v>
      </c>
      <c r="K205" s="1" t="s">
        <v>1655</v>
      </c>
    </row>
    <row r="206" spans="1:11" x14ac:dyDescent="0.2">
      <c r="A206" s="1" t="s">
        <v>1678</v>
      </c>
      <c r="B206" s="1" t="s">
        <v>166</v>
      </c>
      <c r="C206" s="1" t="s">
        <v>356</v>
      </c>
      <c r="D206" s="1" t="s">
        <v>356</v>
      </c>
      <c r="E206" s="1" t="s">
        <v>544</v>
      </c>
      <c r="G206" s="1" t="s">
        <v>914</v>
      </c>
      <c r="J206" s="1" t="s">
        <v>1466</v>
      </c>
    </row>
    <row r="207" spans="1:11" x14ac:dyDescent="0.2">
      <c r="A207" s="1" t="s">
        <v>1679</v>
      </c>
      <c r="B207" s="1" t="s">
        <v>167</v>
      </c>
      <c r="C207" s="1" t="s">
        <v>357</v>
      </c>
      <c r="D207" s="1" t="s">
        <v>357</v>
      </c>
      <c r="E207" s="1" t="s">
        <v>545</v>
      </c>
      <c r="F207" s="1" t="s">
        <v>0</v>
      </c>
      <c r="G207" s="1" t="s">
        <v>915</v>
      </c>
      <c r="H207" s="1" t="s">
        <v>0</v>
      </c>
      <c r="I207" s="1" t="s">
        <v>0</v>
      </c>
      <c r="J207" s="1" t="s">
        <v>1467</v>
      </c>
      <c r="K207" s="1" t="s">
        <v>0</v>
      </c>
    </row>
    <row r="208" spans="1:11" x14ac:dyDescent="0.2">
      <c r="A208" s="1" t="s">
        <v>1680</v>
      </c>
      <c r="B208" s="1" t="s">
        <v>168</v>
      </c>
      <c r="C208" s="1" t="s">
        <v>358</v>
      </c>
      <c r="D208" s="1" t="s">
        <v>358</v>
      </c>
      <c r="E208" s="1" t="s">
        <v>546</v>
      </c>
      <c r="F208" s="1" t="s">
        <v>736</v>
      </c>
      <c r="G208" s="1" t="s">
        <v>916</v>
      </c>
      <c r="H208" s="1" t="s">
        <v>1106</v>
      </c>
      <c r="I208" s="1" t="s">
        <v>1288</v>
      </c>
      <c r="J208" s="1" t="s">
        <v>1468</v>
      </c>
      <c r="K208" s="1" t="s">
        <v>1656</v>
      </c>
    </row>
    <row r="209" spans="1:11" x14ac:dyDescent="0.2">
      <c r="A209" s="1" t="s">
        <v>1681</v>
      </c>
      <c r="B209" s="1" t="s">
        <v>169</v>
      </c>
      <c r="C209" s="1" t="s">
        <v>359</v>
      </c>
      <c r="D209" s="1" t="s">
        <v>359</v>
      </c>
      <c r="E209" s="1" t="s">
        <v>547</v>
      </c>
      <c r="F209" s="1" t="s">
        <v>737</v>
      </c>
      <c r="G209" s="1" t="s">
        <v>917</v>
      </c>
      <c r="H209" s="1" t="s">
        <v>1107</v>
      </c>
      <c r="I209" s="1" t="s">
        <v>1289</v>
      </c>
      <c r="J209" s="1" t="s">
        <v>1469</v>
      </c>
      <c r="K209" s="1" t="s">
        <v>1657</v>
      </c>
    </row>
    <row r="210" spans="1:11" x14ac:dyDescent="0.2">
      <c r="A210" s="1" t="s">
        <v>1682</v>
      </c>
      <c r="B210" s="1" t="s">
        <v>170</v>
      </c>
      <c r="C210" s="1" t="s">
        <v>360</v>
      </c>
      <c r="D210" s="1" t="s">
        <v>360</v>
      </c>
      <c r="E210" s="1" t="s">
        <v>548</v>
      </c>
      <c r="F210" s="1" t="s">
        <v>738</v>
      </c>
      <c r="G210" s="1" t="s">
        <v>918</v>
      </c>
      <c r="H210" s="1" t="s">
        <v>1108</v>
      </c>
      <c r="I210" s="1" t="s">
        <v>1290</v>
      </c>
      <c r="J210" s="1" t="s">
        <v>1470</v>
      </c>
      <c r="K210" s="1" t="s">
        <v>1658</v>
      </c>
    </row>
    <row r="211" spans="1:11" x14ac:dyDescent="0.2">
      <c r="A211" s="1" t="s">
        <v>1683</v>
      </c>
      <c r="B211" s="1" t="s">
        <v>171</v>
      </c>
      <c r="C211" s="1" t="s">
        <v>361</v>
      </c>
      <c r="D211" s="1" t="s">
        <v>361</v>
      </c>
      <c r="E211" s="1" t="s">
        <v>549</v>
      </c>
      <c r="F211" s="1" t="s">
        <v>739</v>
      </c>
      <c r="G211" s="1" t="s">
        <v>919</v>
      </c>
      <c r="H211" s="1" t="s">
        <v>1109</v>
      </c>
      <c r="I211" s="1" t="s">
        <v>1291</v>
      </c>
      <c r="J211" s="1" t="s">
        <v>1471</v>
      </c>
      <c r="K211" s="1" t="s">
        <v>1659</v>
      </c>
    </row>
    <row r="212" spans="1:11" x14ac:dyDescent="0.2">
      <c r="B212" s="1" t="s">
        <v>172</v>
      </c>
      <c r="C212" s="1" t="s">
        <v>362</v>
      </c>
      <c r="D212" s="1" t="s">
        <v>362</v>
      </c>
      <c r="E212" s="1" t="s">
        <v>550</v>
      </c>
      <c r="F212" s="1" t="s">
        <v>740</v>
      </c>
      <c r="G212" s="1" t="s">
        <v>920</v>
      </c>
      <c r="H212" s="1" t="s">
        <v>1110</v>
      </c>
      <c r="I212" s="1" t="s">
        <v>1292</v>
      </c>
      <c r="J212" s="1" t="s">
        <v>1472</v>
      </c>
      <c r="K212" s="1" t="s">
        <v>1660</v>
      </c>
    </row>
    <row r="213" spans="1:11" x14ac:dyDescent="0.2">
      <c r="B213" s="1" t="s">
        <v>173</v>
      </c>
      <c r="C213" s="1" t="s">
        <v>363</v>
      </c>
      <c r="D213" s="1" t="s">
        <v>363</v>
      </c>
      <c r="E213" s="1" t="s">
        <v>551</v>
      </c>
      <c r="F213" s="1" t="s">
        <v>741</v>
      </c>
      <c r="G213" s="1" t="s">
        <v>921</v>
      </c>
      <c r="H213" s="1" t="s">
        <v>1111</v>
      </c>
      <c r="I213" s="1" t="s">
        <v>1293</v>
      </c>
      <c r="J213" s="1" t="s">
        <v>1473</v>
      </c>
      <c r="K213" s="1" t="s">
        <v>1661</v>
      </c>
    </row>
    <row r="214" spans="1:11" x14ac:dyDescent="0.2">
      <c r="A214" s="1" t="s">
        <v>1671</v>
      </c>
      <c r="B214" s="4" t="s">
        <v>1684</v>
      </c>
      <c r="C214" s="1" t="s">
        <v>364</v>
      </c>
      <c r="D214" s="1" t="s">
        <v>364</v>
      </c>
      <c r="E214" s="4" t="s">
        <v>1684</v>
      </c>
      <c r="F214" s="1" t="s">
        <v>742</v>
      </c>
      <c r="G214" s="1" t="s">
        <v>922</v>
      </c>
      <c r="H214" s="1" t="s">
        <v>1112</v>
      </c>
      <c r="I214" s="1" t="s">
        <v>1294</v>
      </c>
      <c r="J214" s="4" t="s">
        <v>1684</v>
      </c>
      <c r="K214" s="1" t="s">
        <v>1662</v>
      </c>
    </row>
    <row r="215" spans="1:11" x14ac:dyDescent="0.2">
      <c r="B215" s="1" t="s">
        <v>0</v>
      </c>
      <c r="C215" s="1" t="s">
        <v>365</v>
      </c>
      <c r="D215" s="1" t="s">
        <v>365</v>
      </c>
      <c r="E215" s="1" t="s">
        <v>0</v>
      </c>
      <c r="F215" s="1" t="s">
        <v>743</v>
      </c>
      <c r="G215" s="1" t="s">
        <v>923</v>
      </c>
      <c r="H215" s="1" t="s">
        <v>1113</v>
      </c>
      <c r="I215" s="1" t="s">
        <v>1295</v>
      </c>
      <c r="J215" s="1" t="s">
        <v>0</v>
      </c>
      <c r="K215" s="1" t="s">
        <v>1663</v>
      </c>
    </row>
    <row r="216" spans="1:11" x14ac:dyDescent="0.2">
      <c r="B216" s="1" t="s">
        <v>174</v>
      </c>
      <c r="C216" s="1" t="s">
        <v>63</v>
      </c>
      <c r="D216" s="1" t="s">
        <v>63</v>
      </c>
      <c r="E216" s="1" t="s">
        <v>552</v>
      </c>
      <c r="F216" s="1" t="s">
        <v>744</v>
      </c>
      <c r="G216" s="1" t="s">
        <v>63</v>
      </c>
      <c r="H216" s="1" t="s">
        <v>1114</v>
      </c>
      <c r="I216" s="1" t="s">
        <v>1296</v>
      </c>
      <c r="J216" s="1" t="s">
        <v>1474</v>
      </c>
      <c r="K216" s="1" t="s">
        <v>1664</v>
      </c>
    </row>
    <row r="217" spans="1:11" x14ac:dyDescent="0.2">
      <c r="A217" s="1" t="s">
        <v>1672</v>
      </c>
      <c r="B217" s="1" t="s">
        <v>175</v>
      </c>
      <c r="C217" s="1" t="s">
        <v>366</v>
      </c>
      <c r="D217" s="1" t="s">
        <v>366</v>
      </c>
      <c r="E217" s="1" t="s">
        <v>553</v>
      </c>
      <c r="F217" s="1" t="s">
        <v>745</v>
      </c>
      <c r="G217" s="1" t="s">
        <v>924</v>
      </c>
      <c r="H217" s="1" t="s">
        <v>1115</v>
      </c>
      <c r="I217" s="1" t="s">
        <v>1297</v>
      </c>
      <c r="J217" s="1" t="s">
        <v>1475</v>
      </c>
      <c r="K217" s="1" t="s">
        <v>1665</v>
      </c>
    </row>
    <row r="218" spans="1:11" x14ac:dyDescent="0.2">
      <c r="A218" s="1" t="s">
        <v>1673</v>
      </c>
      <c r="B218" s="1" t="s">
        <v>176</v>
      </c>
      <c r="E218" s="1" t="s">
        <v>554</v>
      </c>
      <c r="F218" s="1" t="s">
        <v>746</v>
      </c>
      <c r="G218" s="4" t="s">
        <v>1684</v>
      </c>
      <c r="H218" s="1" t="s">
        <v>1116</v>
      </c>
      <c r="I218" s="1" t="s">
        <v>1298</v>
      </c>
      <c r="J218" s="1" t="s">
        <v>1476</v>
      </c>
      <c r="K218" s="1" t="s">
        <v>1666</v>
      </c>
    </row>
    <row r="219" spans="1:11" x14ac:dyDescent="0.2">
      <c r="A219" s="1" t="s">
        <v>1674</v>
      </c>
      <c r="B219" s="1" t="s">
        <v>177</v>
      </c>
      <c r="C219" s="1" t="s">
        <v>0</v>
      </c>
      <c r="D219" s="1" t="s">
        <v>0</v>
      </c>
      <c r="E219" s="1" t="s">
        <v>555</v>
      </c>
      <c r="F219" s="1" t="s">
        <v>747</v>
      </c>
      <c r="G219" s="1" t="s">
        <v>0</v>
      </c>
      <c r="H219" s="1" t="s">
        <v>1117</v>
      </c>
      <c r="I219" s="1" t="s">
        <v>1299</v>
      </c>
      <c r="J219" s="1" t="s">
        <v>1477</v>
      </c>
      <c r="K219" s="1" t="s">
        <v>1667</v>
      </c>
    </row>
    <row r="220" spans="1:11" x14ac:dyDescent="0.2">
      <c r="A220" s="1" t="s">
        <v>1675</v>
      </c>
      <c r="B220" s="1" t="s">
        <v>178</v>
      </c>
      <c r="C220" s="1" t="s">
        <v>367</v>
      </c>
      <c r="D220" s="1" t="s">
        <v>367</v>
      </c>
      <c r="E220" s="1" t="s">
        <v>556</v>
      </c>
      <c r="F220" s="1" t="s">
        <v>748</v>
      </c>
      <c r="G220" s="1" t="s">
        <v>925</v>
      </c>
      <c r="H220" s="1" t="s">
        <v>1118</v>
      </c>
      <c r="I220" s="1" t="s">
        <v>1300</v>
      </c>
      <c r="J220" s="1" t="s">
        <v>1478</v>
      </c>
      <c r="K220" s="1" t="s">
        <v>1668</v>
      </c>
    </row>
    <row r="221" spans="1:11" x14ac:dyDescent="0.2">
      <c r="A221" s="1" t="s">
        <v>1676</v>
      </c>
      <c r="B221" s="1" t="s">
        <v>179</v>
      </c>
      <c r="C221" s="1" t="s">
        <v>368</v>
      </c>
      <c r="D221" s="1" t="s">
        <v>368</v>
      </c>
      <c r="E221" s="1" t="s">
        <v>557</v>
      </c>
      <c r="F221" s="1" t="s">
        <v>749</v>
      </c>
      <c r="G221" s="1" t="s">
        <v>926</v>
      </c>
      <c r="H221" s="1" t="s">
        <v>1119</v>
      </c>
      <c r="I221" s="1" t="s">
        <v>1301</v>
      </c>
      <c r="J221" s="1" t="s">
        <v>1479</v>
      </c>
      <c r="K221" s="1" t="s">
        <v>1669</v>
      </c>
    </row>
    <row r="222" spans="1:11" x14ac:dyDescent="0.2">
      <c r="A222" s="1" t="s">
        <v>1677</v>
      </c>
      <c r="B222" s="1" t="s">
        <v>180</v>
      </c>
      <c r="C222" s="1" t="s">
        <v>369</v>
      </c>
      <c r="D222" s="1" t="s">
        <v>369</v>
      </c>
      <c r="E222" s="1" t="s">
        <v>558</v>
      </c>
      <c r="F222" s="1" t="s">
        <v>750</v>
      </c>
      <c r="G222" s="1" t="s">
        <v>927</v>
      </c>
      <c r="H222" s="1" t="s">
        <v>1120</v>
      </c>
      <c r="I222" s="1" t="s">
        <v>1302</v>
      </c>
      <c r="J222" s="1" t="s">
        <v>1480</v>
      </c>
      <c r="K222" s="1" t="s">
        <v>1670</v>
      </c>
    </row>
    <row r="223" spans="1:11" x14ac:dyDescent="0.2">
      <c r="A223" s="1" t="s">
        <v>1678</v>
      </c>
      <c r="B223" s="1" t="s">
        <v>181</v>
      </c>
      <c r="C223" s="1" t="s">
        <v>370</v>
      </c>
      <c r="D223" s="1" t="s">
        <v>370</v>
      </c>
      <c r="E223" s="1" t="s">
        <v>559</v>
      </c>
      <c r="G223" s="1" t="s">
        <v>928</v>
      </c>
      <c r="J223" s="1" t="s">
        <v>1481</v>
      </c>
    </row>
    <row r="224" spans="1:11" x14ac:dyDescent="0.2">
      <c r="A224" s="1" t="s">
        <v>1679</v>
      </c>
      <c r="B224" s="1" t="s">
        <v>182</v>
      </c>
      <c r="C224" s="1" t="s">
        <v>371</v>
      </c>
      <c r="D224" s="1" t="s">
        <v>371</v>
      </c>
      <c r="E224" s="1" t="s">
        <v>560</v>
      </c>
      <c r="G224" s="1" t="s">
        <v>929</v>
      </c>
      <c r="J224" s="1" t="s">
        <v>1482</v>
      </c>
    </row>
    <row r="225" spans="1:10" x14ac:dyDescent="0.2">
      <c r="A225" s="1" t="s">
        <v>1680</v>
      </c>
      <c r="B225" s="1" t="s">
        <v>183</v>
      </c>
      <c r="C225" s="1" t="s">
        <v>372</v>
      </c>
      <c r="D225" s="1" t="s">
        <v>372</v>
      </c>
      <c r="E225" s="1" t="s">
        <v>561</v>
      </c>
      <c r="G225" s="1" t="s">
        <v>930</v>
      </c>
      <c r="J225" s="1" t="s">
        <v>1483</v>
      </c>
    </row>
    <row r="226" spans="1:10" x14ac:dyDescent="0.2">
      <c r="A226" s="1" t="s">
        <v>1681</v>
      </c>
      <c r="B226" s="1" t="s">
        <v>184</v>
      </c>
      <c r="C226" s="1" t="s">
        <v>373</v>
      </c>
      <c r="D226" s="1" t="s">
        <v>373</v>
      </c>
      <c r="E226" s="1" t="s">
        <v>562</v>
      </c>
      <c r="G226" s="1" t="s">
        <v>931</v>
      </c>
      <c r="J226" s="1" t="s">
        <v>1484</v>
      </c>
    </row>
    <row r="227" spans="1:10" x14ac:dyDescent="0.2">
      <c r="A227" s="1" t="s">
        <v>1682</v>
      </c>
      <c r="B227" s="1" t="s">
        <v>185</v>
      </c>
      <c r="C227" s="1" t="s">
        <v>374</v>
      </c>
      <c r="D227" s="1" t="s">
        <v>374</v>
      </c>
      <c r="E227" s="1" t="s">
        <v>563</v>
      </c>
      <c r="G227" s="1" t="s">
        <v>932</v>
      </c>
      <c r="J227" s="1" t="s">
        <v>1485</v>
      </c>
    </row>
    <row r="228" spans="1:10" x14ac:dyDescent="0.2">
      <c r="A228" s="1" t="s">
        <v>1683</v>
      </c>
      <c r="B228" s="1" t="s">
        <v>186</v>
      </c>
      <c r="C228" s="1" t="s">
        <v>375</v>
      </c>
      <c r="D228" s="1" t="s">
        <v>375</v>
      </c>
      <c r="E228" s="1" t="s">
        <v>564</v>
      </c>
      <c r="G228" s="1" t="s">
        <v>933</v>
      </c>
      <c r="J228" s="1" t="s">
        <v>1486</v>
      </c>
    </row>
    <row r="229" spans="1:10" x14ac:dyDescent="0.2">
      <c r="B229" s="1" t="s">
        <v>187</v>
      </c>
      <c r="C229" s="1" t="s">
        <v>376</v>
      </c>
      <c r="D229" s="1" t="s">
        <v>376</v>
      </c>
      <c r="E229" s="1" t="s">
        <v>565</v>
      </c>
      <c r="G229" s="1" t="s">
        <v>934</v>
      </c>
      <c r="J229" s="1" t="s">
        <v>1487</v>
      </c>
    </row>
    <row r="230" spans="1:10" x14ac:dyDescent="0.2">
      <c r="B230" s="1" t="s">
        <v>188</v>
      </c>
      <c r="C230" s="1" t="s">
        <v>377</v>
      </c>
      <c r="D230" s="1" t="s">
        <v>377</v>
      </c>
      <c r="E230" s="1" t="s">
        <v>566</v>
      </c>
      <c r="G230" s="1" t="s">
        <v>935</v>
      </c>
      <c r="J230" s="1" t="s">
        <v>1488</v>
      </c>
    </row>
    <row r="231" spans="1:10" x14ac:dyDescent="0.2">
      <c r="C231" s="1" t="s">
        <v>378</v>
      </c>
      <c r="D231" s="1" t="s">
        <v>378</v>
      </c>
      <c r="E231" s="1" t="s">
        <v>1685</v>
      </c>
      <c r="G231" s="1" t="s">
        <v>936</v>
      </c>
    </row>
    <row r="232" spans="1:10" x14ac:dyDescent="0.2">
      <c r="C232" s="1" t="s">
        <v>379</v>
      </c>
      <c r="D232" s="1" t="s">
        <v>379</v>
      </c>
      <c r="E232" s="1" t="s">
        <v>1685</v>
      </c>
      <c r="G232" s="1" t="s">
        <v>937</v>
      </c>
    </row>
    <row r="233" spans="1:10" x14ac:dyDescent="0.2">
      <c r="C233" s="1" t="s">
        <v>362</v>
      </c>
      <c r="D233" s="1" t="s">
        <v>362</v>
      </c>
      <c r="E233" s="1" t="s">
        <v>1685</v>
      </c>
      <c r="G233" s="1" t="s">
        <v>920</v>
      </c>
    </row>
    <row r="234" spans="1:10" x14ac:dyDescent="0.2">
      <c r="C234" s="1" t="s">
        <v>363</v>
      </c>
      <c r="D234" s="1" t="s">
        <v>363</v>
      </c>
      <c r="E234" s="1" t="s">
        <v>1685</v>
      </c>
      <c r="G234" s="1" t="s">
        <v>921</v>
      </c>
    </row>
    <row r="235" spans="1:10" x14ac:dyDescent="0.2">
      <c r="C235" s="1" t="s">
        <v>364</v>
      </c>
      <c r="D235" s="1" t="s">
        <v>364</v>
      </c>
      <c r="E235" s="1" t="s">
        <v>1685</v>
      </c>
      <c r="G235" s="1" t="s">
        <v>922</v>
      </c>
    </row>
    <row r="236" spans="1:10" x14ac:dyDescent="0.2">
      <c r="C236" s="1" t="s">
        <v>380</v>
      </c>
      <c r="D236" s="1" t="s">
        <v>380</v>
      </c>
      <c r="E236" s="1" t="s">
        <v>1685</v>
      </c>
      <c r="G236" s="1" t="s">
        <v>938</v>
      </c>
    </row>
    <row r="237" spans="1:10" x14ac:dyDescent="0.2">
      <c r="C237" s="1" t="s">
        <v>79</v>
      </c>
      <c r="D237" s="1" t="s">
        <v>79</v>
      </c>
      <c r="E237" s="1" t="s">
        <v>1685</v>
      </c>
      <c r="G237" s="1" t="s">
        <v>79</v>
      </c>
    </row>
    <row r="238" spans="1:10" x14ac:dyDescent="0.2">
      <c r="C238" s="1" t="s">
        <v>366</v>
      </c>
      <c r="D238" s="1" t="s">
        <v>366</v>
      </c>
      <c r="E238" s="1" t="s">
        <v>1685</v>
      </c>
      <c r="G238" s="1" t="s">
        <v>924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242C-A0AF-4023-9830-2AF63F76583B}">
  <dimension ref="A1:AG28"/>
  <sheetViews>
    <sheetView zoomScaleNormal="100" workbookViewId="0">
      <selection activeCell="I21" sqref="I21"/>
    </sheetView>
  </sheetViews>
  <sheetFormatPr defaultColWidth="9.5703125" defaultRowHeight="15" x14ac:dyDescent="0.25"/>
  <sheetData>
    <row r="1" spans="1:33" x14ac:dyDescent="0.25">
      <c r="A1" t="s">
        <v>191</v>
      </c>
      <c r="Q1" s="12"/>
    </row>
    <row r="2" spans="1:33" x14ac:dyDescent="0.25">
      <c r="A2" s="40">
        <v>0</v>
      </c>
      <c r="B2" t="s">
        <v>190</v>
      </c>
      <c r="C2" s="42" t="s">
        <v>751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3"/>
      <c r="Q2" s="43" t="s">
        <v>189</v>
      </c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13"/>
    </row>
    <row r="3" spans="1:33" x14ac:dyDescent="0.25">
      <c r="A3" s="40"/>
      <c r="B3" t="s">
        <v>1702</v>
      </c>
      <c r="C3" s="41">
        <v>1</v>
      </c>
      <c r="D3" s="41"/>
      <c r="E3" s="41">
        <v>0.75</v>
      </c>
      <c r="F3" s="41"/>
      <c r="G3" s="41">
        <v>0.56000000000000005</v>
      </c>
      <c r="H3" s="41"/>
      <c r="I3" s="41">
        <v>0.55000000000000004</v>
      </c>
      <c r="J3" s="41"/>
      <c r="K3" s="41">
        <v>0.5</v>
      </c>
      <c r="L3" s="41"/>
      <c r="M3" s="41">
        <v>0.25</v>
      </c>
      <c r="N3" s="41"/>
      <c r="O3" s="41">
        <v>0</v>
      </c>
      <c r="P3" s="44"/>
      <c r="Q3" s="45">
        <v>1</v>
      </c>
      <c r="R3" s="41"/>
      <c r="S3" s="41">
        <v>0.75</v>
      </c>
      <c r="T3" s="41"/>
      <c r="U3" s="41">
        <v>0.5</v>
      </c>
      <c r="V3" s="41"/>
      <c r="W3" s="41">
        <v>0.34</v>
      </c>
      <c r="X3" s="41"/>
      <c r="Y3" s="41">
        <v>0.33</v>
      </c>
      <c r="Z3" s="41"/>
      <c r="AA3" s="41">
        <v>0.25</v>
      </c>
      <c r="AB3" s="41"/>
      <c r="AC3" s="41">
        <v>0</v>
      </c>
      <c r="AD3" s="41"/>
      <c r="AF3" t="s">
        <v>1705</v>
      </c>
    </row>
    <row r="4" spans="1:33" x14ac:dyDescent="0.25">
      <c r="A4" s="40"/>
      <c r="B4" s="16" t="s">
        <v>1696</v>
      </c>
      <c r="C4" s="15">
        <v>-0.99357499999999999</v>
      </c>
      <c r="D4" s="15">
        <v>1.68804</v>
      </c>
      <c r="E4">
        <v>-0.95175799999999999</v>
      </c>
      <c r="F4">
        <v>1.1208400000000001</v>
      </c>
      <c r="G4">
        <v>-0.91718699999999997</v>
      </c>
      <c r="H4">
        <v>0.20169899999999999</v>
      </c>
      <c r="I4">
        <v>-1.07</v>
      </c>
      <c r="J4">
        <v>0</v>
      </c>
      <c r="K4">
        <v>-1.49471</v>
      </c>
      <c r="L4">
        <v>0</v>
      </c>
      <c r="M4">
        <v>-2.2618499999999999</v>
      </c>
      <c r="N4">
        <v>0</v>
      </c>
      <c r="O4">
        <v>-2.7095899999999999</v>
      </c>
      <c r="P4">
        <v>0</v>
      </c>
      <c r="Q4" s="12">
        <v>-1.01705</v>
      </c>
      <c r="R4">
        <v>2.0674399999999999</v>
      </c>
      <c r="S4">
        <v>-0.975101</v>
      </c>
      <c r="T4">
        <v>1.63019</v>
      </c>
      <c r="U4">
        <v>-0.93293400000000004</v>
      </c>
      <c r="V4">
        <v>1.0186999999999999</v>
      </c>
      <c r="W4">
        <v>-0.964256</v>
      </c>
      <c r="X4">
        <v>0</v>
      </c>
      <c r="Y4">
        <v>-1.1645000000000001</v>
      </c>
      <c r="Z4">
        <v>0</v>
      </c>
      <c r="AA4">
        <v>-1.65716</v>
      </c>
      <c r="AB4">
        <v>0</v>
      </c>
      <c r="AC4">
        <v>-2.3369499999999999</v>
      </c>
      <c r="AD4">
        <v>0</v>
      </c>
      <c r="AF4">
        <v>-0.25</v>
      </c>
      <c r="AG4">
        <v>-0.15</v>
      </c>
    </row>
    <row r="5" spans="1:33" x14ac:dyDescent="0.25">
      <c r="A5" s="40"/>
      <c r="C5" s="15">
        <v>-0.99357499999999999</v>
      </c>
      <c r="D5" s="15">
        <v>-1.68804</v>
      </c>
      <c r="E5">
        <v>-0.95175799999999999</v>
      </c>
      <c r="F5">
        <v>-1.1208400000000001</v>
      </c>
      <c r="G5">
        <v>-0.91718699999999997</v>
      </c>
      <c r="H5">
        <v>-0.20169899999999999</v>
      </c>
      <c r="I5">
        <v>-0.75959600000000005</v>
      </c>
      <c r="J5">
        <v>0</v>
      </c>
      <c r="K5">
        <v>-0.294178</v>
      </c>
      <c r="L5">
        <v>0</v>
      </c>
      <c r="M5">
        <v>0.53601100000000002</v>
      </c>
      <c r="N5">
        <v>0</v>
      </c>
      <c r="O5">
        <v>1.05992</v>
      </c>
      <c r="P5">
        <v>0</v>
      </c>
      <c r="Q5" s="12">
        <v>-1.01705</v>
      </c>
      <c r="R5">
        <v>-2.0674399999999999</v>
      </c>
      <c r="S5">
        <v>-0.975101</v>
      </c>
      <c r="T5">
        <v>-1.63019</v>
      </c>
      <c r="U5">
        <v>-0.93293400000000004</v>
      </c>
      <c r="V5">
        <v>-1.0186999999999999</v>
      </c>
      <c r="W5">
        <v>-0.84131400000000001</v>
      </c>
      <c r="X5">
        <v>0</v>
      </c>
      <c r="Y5">
        <v>-0.63585499999999995</v>
      </c>
      <c r="Z5">
        <v>0</v>
      </c>
      <c r="AA5">
        <v>8.9075600000000005E-2</v>
      </c>
      <c r="AB5">
        <v>0</v>
      </c>
      <c r="AC5">
        <v>0.64694600000000002</v>
      </c>
      <c r="AD5">
        <v>0</v>
      </c>
      <c r="AF5">
        <v>-0.25</v>
      </c>
      <c r="AG5">
        <v>0.15</v>
      </c>
    </row>
    <row r="6" spans="1:33" x14ac:dyDescent="0.25">
      <c r="A6" s="40"/>
      <c r="B6" s="16" t="s">
        <v>1697</v>
      </c>
      <c r="C6" s="15">
        <v>-8.1648500000000004E-4</v>
      </c>
      <c r="D6" s="15">
        <v>7.0389800000000002E-2</v>
      </c>
      <c r="E6">
        <v>-9.6004800000000002E-4</v>
      </c>
      <c r="F6">
        <v>6.2941700000000003E-2</v>
      </c>
      <c r="I6">
        <v>-4.5900699999999999E-3</v>
      </c>
      <c r="J6">
        <v>1.53793E-2</v>
      </c>
      <c r="K6">
        <v>-8.4083099999999994E-2</v>
      </c>
      <c r="L6">
        <v>0</v>
      </c>
      <c r="M6">
        <v>-6.4847500000000001E-3</v>
      </c>
      <c r="N6">
        <v>0.100648</v>
      </c>
      <c r="O6">
        <v>-2.9310899999999999E-3</v>
      </c>
      <c r="P6">
        <v>8.9027999999999996E-2</v>
      </c>
      <c r="Q6" s="12">
        <v>-1.6935E-4</v>
      </c>
      <c r="R6">
        <v>7.3047899999999999E-2</v>
      </c>
      <c r="S6">
        <v>-1.50304E-4</v>
      </c>
      <c r="T6">
        <v>7.0073499999999997E-2</v>
      </c>
      <c r="U6">
        <v>-3.63665E-4</v>
      </c>
      <c r="V6">
        <v>6.1021800000000001E-2</v>
      </c>
      <c r="W6">
        <v>-3.6658400000000001E-3</v>
      </c>
      <c r="X6">
        <v>1.9248899999999999E-2</v>
      </c>
      <c r="Y6">
        <v>-1.7781999999999999E-2</v>
      </c>
      <c r="Z6">
        <v>0</v>
      </c>
      <c r="AA6">
        <v>-0.10731599999999999</v>
      </c>
      <c r="AB6">
        <v>0.110762</v>
      </c>
      <c r="AC6">
        <v>-4.4227299999999997E-3</v>
      </c>
      <c r="AD6">
        <v>9.6576400000000007E-2</v>
      </c>
      <c r="AF6">
        <v>0.1</v>
      </c>
      <c r="AG6">
        <v>-0.15</v>
      </c>
    </row>
    <row r="7" spans="1:33" x14ac:dyDescent="0.25">
      <c r="A7" s="40"/>
      <c r="C7" s="15">
        <v>-8.1648500000000004E-4</v>
      </c>
      <c r="D7" s="15">
        <v>-7.0389800000000002E-2</v>
      </c>
      <c r="E7">
        <v>-9.6004800000000002E-4</v>
      </c>
      <c r="F7">
        <v>-6.2941700000000003E-2</v>
      </c>
      <c r="I7">
        <v>-4.5900699999999999E-3</v>
      </c>
      <c r="J7">
        <v>-1.53793E-2</v>
      </c>
      <c r="K7">
        <v>5.0863800000000001E-2</v>
      </c>
      <c r="L7">
        <v>0</v>
      </c>
      <c r="M7">
        <v>-6.4847500000000001E-3</v>
      </c>
      <c r="N7">
        <v>-0.100648</v>
      </c>
      <c r="O7">
        <v>-2.9310899999999999E-3</v>
      </c>
      <c r="P7">
        <v>-8.9027999999999996E-2</v>
      </c>
      <c r="Q7" s="12">
        <v>-1.6935E-4</v>
      </c>
      <c r="R7">
        <v>-7.3047899999999999E-2</v>
      </c>
      <c r="S7">
        <v>-1.50304E-4</v>
      </c>
      <c r="T7">
        <v>-7.0073499999999997E-2</v>
      </c>
      <c r="U7">
        <v>-3.63665E-4</v>
      </c>
      <c r="V7">
        <v>-6.1021800000000001E-2</v>
      </c>
      <c r="W7">
        <v>-3.6658400000000001E-3</v>
      </c>
      <c r="X7">
        <v>-1.9248899999999999E-2</v>
      </c>
      <c r="Y7">
        <v>8.59357E-3</v>
      </c>
      <c r="Z7">
        <v>0</v>
      </c>
      <c r="AA7">
        <v>-0.10731599999999999</v>
      </c>
      <c r="AB7">
        <v>-0.110762</v>
      </c>
      <c r="AC7">
        <v>-4.4227299999999997E-3</v>
      </c>
      <c r="AD7">
        <v>-9.6576400000000007E-2</v>
      </c>
      <c r="AF7">
        <v>0.1</v>
      </c>
      <c r="AG7">
        <v>0.15</v>
      </c>
    </row>
    <row r="8" spans="1:33" x14ac:dyDescent="0.25">
      <c r="A8" s="40"/>
      <c r="B8" t="s">
        <v>1698</v>
      </c>
      <c r="C8" s="15">
        <v>-3.0981200000000002</v>
      </c>
      <c r="D8" s="15">
        <v>0</v>
      </c>
      <c r="E8">
        <v>-3.09972</v>
      </c>
      <c r="F8">
        <v>0</v>
      </c>
      <c r="K8">
        <v>-3.1013799999999998</v>
      </c>
      <c r="L8">
        <v>0</v>
      </c>
      <c r="M8">
        <v>-3.1031200000000001</v>
      </c>
      <c r="N8">
        <v>0</v>
      </c>
      <c r="O8">
        <v>-3.10493</v>
      </c>
      <c r="P8">
        <v>0</v>
      </c>
      <c r="Q8" s="12">
        <v>-3.0406</v>
      </c>
      <c r="R8">
        <v>0</v>
      </c>
      <c r="S8">
        <v>-3.0425499999999999</v>
      </c>
      <c r="T8">
        <v>0</v>
      </c>
      <c r="U8">
        <v>-3.0445700000000002</v>
      </c>
      <c r="V8">
        <v>0</v>
      </c>
      <c r="AA8">
        <v>-3.0466500000000001</v>
      </c>
      <c r="AB8">
        <v>0</v>
      </c>
      <c r="AC8">
        <v>-3.0487899999999999</v>
      </c>
      <c r="AD8">
        <v>0</v>
      </c>
    </row>
    <row r="9" spans="1:33" x14ac:dyDescent="0.25">
      <c r="A9" s="40"/>
      <c r="B9" t="s">
        <v>1699</v>
      </c>
      <c r="C9" s="15">
        <v>3.27159E-3</v>
      </c>
      <c r="D9" s="15">
        <v>0</v>
      </c>
      <c r="E9">
        <v>2.9268800000000002E-3</v>
      </c>
      <c r="F9">
        <v>0</v>
      </c>
      <c r="K9">
        <v>2.5701500000000002E-3</v>
      </c>
      <c r="L9">
        <v>0</v>
      </c>
      <c r="M9">
        <v>2.1997700000000002E-3</v>
      </c>
      <c r="N9">
        <v>0</v>
      </c>
      <c r="O9">
        <v>1.81431E-3</v>
      </c>
      <c r="P9">
        <v>0</v>
      </c>
      <c r="Q9" s="12">
        <v>-1.5124500000000001E-2</v>
      </c>
      <c r="R9">
        <v>0</v>
      </c>
      <c r="S9">
        <v>-2.2377399999999999E-2</v>
      </c>
      <c r="T9">
        <v>0</v>
      </c>
      <c r="U9">
        <v>-3.57974E-2</v>
      </c>
      <c r="V9">
        <v>0</v>
      </c>
      <c r="AA9">
        <v>-6.9354499999999999E-2</v>
      </c>
      <c r="AB9">
        <v>0</v>
      </c>
      <c r="AC9">
        <v>-0.212311</v>
      </c>
      <c r="AD9">
        <v>0</v>
      </c>
    </row>
    <row r="10" spans="1:33" x14ac:dyDescent="0.25">
      <c r="A10" s="40"/>
      <c r="B10" t="s">
        <v>1700</v>
      </c>
      <c r="C10" s="15">
        <v>-0.200875</v>
      </c>
      <c r="D10" s="15">
        <v>3.5251100000000002</v>
      </c>
      <c r="E10">
        <v>-0.19748099999999999</v>
      </c>
      <c r="F10">
        <v>3.46523</v>
      </c>
      <c r="K10">
        <v>-0.19404399999999999</v>
      </c>
      <c r="L10">
        <v>3.40435</v>
      </c>
      <c r="M10">
        <v>-0.19055900000000001</v>
      </c>
      <c r="N10">
        <v>3.3424399999999999</v>
      </c>
      <c r="O10">
        <v>-0.187024</v>
      </c>
      <c r="P10">
        <v>3.27942</v>
      </c>
      <c r="Q10" s="12">
        <v>-3.7906099999999998E-2</v>
      </c>
      <c r="R10">
        <v>0.88737299999999997</v>
      </c>
      <c r="S10">
        <v>-3.2697299999999999E-2</v>
      </c>
      <c r="T10">
        <v>0.77672200000000002</v>
      </c>
      <c r="U10">
        <v>-2.43722E-2</v>
      </c>
      <c r="V10">
        <v>0.64785300000000001</v>
      </c>
      <c r="AA10">
        <v>-5.9391499999999998E-3</v>
      </c>
      <c r="AB10">
        <v>0.48765700000000001</v>
      </c>
      <c r="AC10">
        <v>6.7227700000000001E-2</v>
      </c>
      <c r="AD10">
        <v>0.282279</v>
      </c>
    </row>
    <row r="11" spans="1:33" x14ac:dyDescent="0.25">
      <c r="A11" s="40"/>
      <c r="C11" s="15">
        <v>-0.200875</v>
      </c>
      <c r="D11" s="15">
        <v>-3.5251100000000002</v>
      </c>
      <c r="E11">
        <v>-0.19748099999999999</v>
      </c>
      <c r="F11">
        <v>-3.46523</v>
      </c>
      <c r="K11">
        <v>-0.19404399999999999</v>
      </c>
      <c r="L11">
        <v>-3.40435</v>
      </c>
      <c r="M11">
        <v>-0.19055900000000001</v>
      </c>
      <c r="N11">
        <v>-3.3424399999999999</v>
      </c>
      <c r="O11">
        <v>-0.187024</v>
      </c>
      <c r="P11">
        <v>-3.27942</v>
      </c>
      <c r="Q11" s="12">
        <v>-3.7906099999999998E-2</v>
      </c>
      <c r="R11">
        <v>-0.88737299999999997</v>
      </c>
      <c r="S11">
        <v>-3.2697299999999999E-2</v>
      </c>
      <c r="T11">
        <v>-0.77672200000000002</v>
      </c>
      <c r="U11">
        <v>-2.43722E-2</v>
      </c>
      <c r="V11">
        <v>-0.64785300000000001</v>
      </c>
      <c r="AA11">
        <v>-5.9391499999999998E-3</v>
      </c>
      <c r="AB11">
        <v>-0.48765700000000001</v>
      </c>
      <c r="AC11">
        <v>6.7227700000000001E-2</v>
      </c>
      <c r="AD11">
        <v>-0.282279</v>
      </c>
    </row>
    <row r="12" spans="1:33" x14ac:dyDescent="0.25">
      <c r="A12" s="40"/>
      <c r="B12" t="s">
        <v>1701</v>
      </c>
      <c r="C12" s="15">
        <v>-1.2803500000000001E-14</v>
      </c>
      <c r="D12" s="15">
        <v>0</v>
      </c>
      <c r="E12" s="14">
        <v>3.8311899999999998E-15</v>
      </c>
      <c r="F12" s="14">
        <v>1.1620200000000001E-14</v>
      </c>
      <c r="G12" s="14"/>
      <c r="H12" s="14"/>
      <c r="K12" s="14">
        <v>-1.5079799999999999E-14</v>
      </c>
      <c r="L12">
        <v>0</v>
      </c>
      <c r="M12" s="14">
        <v>-3.4278499999999999E-14</v>
      </c>
      <c r="N12">
        <v>0</v>
      </c>
      <c r="O12" s="14">
        <v>3.07681E-15</v>
      </c>
      <c r="P12" s="14">
        <v>3.2095499999999999E-14</v>
      </c>
      <c r="Q12" s="12"/>
    </row>
    <row r="13" spans="1:33" x14ac:dyDescent="0.25">
      <c r="A13" s="40"/>
      <c r="C13" s="15">
        <v>1.6979700000000001E-14</v>
      </c>
      <c r="D13" s="15">
        <v>0</v>
      </c>
      <c r="E13" s="14">
        <v>3.8311899999999998E-15</v>
      </c>
      <c r="F13" s="14">
        <v>-1.1620200000000001E-14</v>
      </c>
      <c r="G13" s="14"/>
      <c r="H13" s="14"/>
      <c r="K13" s="14">
        <v>-1.9366299999999999E-13</v>
      </c>
      <c r="L13">
        <v>0</v>
      </c>
      <c r="M13" s="14">
        <v>1.8017700000000001E-13</v>
      </c>
      <c r="N13">
        <v>0</v>
      </c>
      <c r="O13" s="14">
        <v>3.07681E-15</v>
      </c>
      <c r="P13" s="14">
        <v>-3.2095499999999999E-14</v>
      </c>
      <c r="Q13" s="12"/>
    </row>
    <row r="14" spans="1:33" x14ac:dyDescent="0.25">
      <c r="A14" s="40"/>
      <c r="C14" s="15">
        <v>-1.79731E-8</v>
      </c>
      <c r="D14" s="15">
        <v>1.0841E-5</v>
      </c>
      <c r="E14" s="14">
        <v>1.07954E-5</v>
      </c>
      <c r="F14">
        <v>0</v>
      </c>
      <c r="K14" s="14">
        <v>-2.0757799999999999E-8</v>
      </c>
      <c r="L14" s="14">
        <v>1.03272E-5</v>
      </c>
      <c r="M14" s="14">
        <v>-1.4442600000000001E-8</v>
      </c>
      <c r="N14" s="14">
        <v>-7.9718799999999993E-6</v>
      </c>
      <c r="O14" s="14">
        <v>-3.3538599999999998E-8</v>
      </c>
      <c r="P14" s="14">
        <v>1.1031400000000001E-5</v>
      </c>
      <c r="Q14" s="12"/>
    </row>
    <row r="15" spans="1:33" x14ac:dyDescent="0.25">
      <c r="A15" s="40"/>
      <c r="C15" s="15">
        <v>-1.79731E-8</v>
      </c>
      <c r="D15" s="15">
        <v>-1.0841E-5</v>
      </c>
      <c r="E15" s="14">
        <v>-1.0755699999999999E-5</v>
      </c>
      <c r="F15">
        <v>0</v>
      </c>
      <c r="K15" s="14">
        <v>-2.0757799999999999E-8</v>
      </c>
      <c r="L15" s="14">
        <v>-1.03272E-5</v>
      </c>
      <c r="M15" s="14">
        <v>-1.4442600000000001E-8</v>
      </c>
      <c r="N15" s="14">
        <v>7.9718799999999993E-6</v>
      </c>
      <c r="O15" s="14">
        <v>-3.3538599999999998E-8</v>
      </c>
      <c r="P15" s="14">
        <v>-1.1031400000000001E-5</v>
      </c>
      <c r="Q15" s="12"/>
    </row>
    <row r="16" spans="1:33" x14ac:dyDescent="0.25">
      <c r="A16" t="s">
        <v>191</v>
      </c>
      <c r="C16" t="s">
        <v>1703</v>
      </c>
      <c r="D16" t="s">
        <v>1704</v>
      </c>
      <c r="E16" t="s">
        <v>1703</v>
      </c>
      <c r="F16" t="s">
        <v>1704</v>
      </c>
      <c r="K16" t="s">
        <v>1703</v>
      </c>
      <c r="L16" t="s">
        <v>1704</v>
      </c>
      <c r="M16" t="s">
        <v>1703</v>
      </c>
      <c r="N16" t="s">
        <v>1704</v>
      </c>
      <c r="O16" t="s">
        <v>1703</v>
      </c>
      <c r="P16" t="s">
        <v>1704</v>
      </c>
      <c r="Q16" t="s">
        <v>1703</v>
      </c>
      <c r="R16" t="s">
        <v>1704</v>
      </c>
      <c r="S16" t="s">
        <v>1703</v>
      </c>
      <c r="T16" t="s">
        <v>1704</v>
      </c>
      <c r="U16" t="s">
        <v>1703</v>
      </c>
      <c r="V16" t="s">
        <v>1704</v>
      </c>
      <c r="AA16" t="s">
        <v>1703</v>
      </c>
      <c r="AB16" t="s">
        <v>1704</v>
      </c>
      <c r="AC16" t="s">
        <v>1703</v>
      </c>
      <c r="AD16" t="s">
        <v>1704</v>
      </c>
    </row>
    <row r="17" spans="1:32" x14ac:dyDescent="0.25">
      <c r="A17" s="40">
        <v>60</v>
      </c>
      <c r="B17" t="s">
        <v>190</v>
      </c>
      <c r="C17" s="42" t="s">
        <v>751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3"/>
      <c r="Q17" s="43" t="s">
        <v>189</v>
      </c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13"/>
    </row>
    <row r="18" spans="1:32" x14ac:dyDescent="0.25">
      <c r="A18" s="40"/>
      <c r="B18" t="s">
        <v>1702</v>
      </c>
      <c r="C18" s="41">
        <v>1</v>
      </c>
      <c r="D18" s="41"/>
      <c r="E18" s="41">
        <v>0.75</v>
      </c>
      <c r="F18" s="41"/>
      <c r="G18" s="41">
        <v>0.56000000000000005</v>
      </c>
      <c r="H18" s="41"/>
      <c r="I18" s="41">
        <v>0.55000000000000004</v>
      </c>
      <c r="J18" s="41"/>
      <c r="K18" s="41">
        <v>0.5</v>
      </c>
      <c r="L18" s="41"/>
      <c r="M18" s="41">
        <v>0.25</v>
      </c>
      <c r="N18" s="41"/>
      <c r="O18" s="41">
        <v>0</v>
      </c>
      <c r="P18" s="44"/>
      <c r="Q18" s="45">
        <v>1</v>
      </c>
      <c r="R18" s="41"/>
      <c r="S18" s="41">
        <v>0.75</v>
      </c>
      <c r="T18" s="41"/>
      <c r="U18" s="41">
        <v>0.5</v>
      </c>
      <c r="V18" s="41"/>
      <c r="W18" s="41">
        <v>0.34</v>
      </c>
      <c r="X18" s="41"/>
      <c r="Y18" s="41">
        <v>0.33</v>
      </c>
      <c r="Z18" s="41"/>
      <c r="AA18" s="41">
        <v>0.25</v>
      </c>
      <c r="AB18" s="41"/>
      <c r="AC18" s="41">
        <v>0</v>
      </c>
      <c r="AD18" s="41"/>
      <c r="AF18" t="s">
        <v>1705</v>
      </c>
    </row>
    <row r="19" spans="1:32" x14ac:dyDescent="0.25">
      <c r="A19" s="40"/>
      <c r="B19" s="16" t="s">
        <v>1696</v>
      </c>
    </row>
    <row r="20" spans="1:32" x14ac:dyDescent="0.25">
      <c r="A20" s="40"/>
    </row>
    <row r="21" spans="1:32" x14ac:dyDescent="0.25">
      <c r="A21" s="40"/>
      <c r="B21" s="16" t="s">
        <v>1697</v>
      </c>
    </row>
    <row r="22" spans="1:32" x14ac:dyDescent="0.25">
      <c r="A22" s="40"/>
    </row>
    <row r="23" spans="1:32" x14ac:dyDescent="0.25">
      <c r="A23" s="40"/>
      <c r="B23" t="s">
        <v>1698</v>
      </c>
    </row>
    <row r="24" spans="1:32" x14ac:dyDescent="0.25">
      <c r="A24" s="40"/>
      <c r="B24" t="s">
        <v>1699</v>
      </c>
    </row>
    <row r="25" spans="1:32" x14ac:dyDescent="0.25">
      <c r="A25" s="40"/>
      <c r="B25" t="s">
        <v>1700</v>
      </c>
    </row>
    <row r="26" spans="1:32" x14ac:dyDescent="0.25">
      <c r="A26" s="40"/>
    </row>
    <row r="27" spans="1:32" x14ac:dyDescent="0.25">
      <c r="A27" s="40"/>
      <c r="B27" t="s">
        <v>1701</v>
      </c>
    </row>
    <row r="28" spans="1:32" x14ac:dyDescent="0.25">
      <c r="C28" t="s">
        <v>1703</v>
      </c>
      <c r="D28" t="s">
        <v>1704</v>
      </c>
      <c r="E28" t="s">
        <v>1703</v>
      </c>
      <c r="F28" t="s">
        <v>1704</v>
      </c>
    </row>
  </sheetData>
  <mergeCells count="34">
    <mergeCell ref="C2:O2"/>
    <mergeCell ref="Q2:AC2"/>
    <mergeCell ref="Q3:R3"/>
    <mergeCell ref="S3:T3"/>
    <mergeCell ref="U3:V3"/>
    <mergeCell ref="AA3:AB3"/>
    <mergeCell ref="AC3:AD3"/>
    <mergeCell ref="O3:P3"/>
    <mergeCell ref="M3:N3"/>
    <mergeCell ref="K3:L3"/>
    <mergeCell ref="I3:J3"/>
    <mergeCell ref="Y3:Z3"/>
    <mergeCell ref="G3:H3"/>
    <mergeCell ref="O18:P18"/>
    <mergeCell ref="Q18:R18"/>
    <mergeCell ref="S18:T18"/>
    <mergeCell ref="U18:V18"/>
    <mergeCell ref="C3:D3"/>
    <mergeCell ref="A2:A15"/>
    <mergeCell ref="W18:X18"/>
    <mergeCell ref="Y18:Z18"/>
    <mergeCell ref="AA18:AB18"/>
    <mergeCell ref="AC18:AD18"/>
    <mergeCell ref="A17:A27"/>
    <mergeCell ref="W3:X3"/>
    <mergeCell ref="E3:F3"/>
    <mergeCell ref="C17:O17"/>
    <mergeCell ref="Q17:AC17"/>
    <mergeCell ref="C18:D18"/>
    <mergeCell ref="E18:F18"/>
    <mergeCell ref="G18:H18"/>
    <mergeCell ref="I18:J18"/>
    <mergeCell ref="K18:L18"/>
    <mergeCell ref="M18:N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7464-AEB1-48FD-9434-53DDC362D501}">
  <dimension ref="A1:AL145"/>
  <sheetViews>
    <sheetView topLeftCell="D108" zoomScaleNormal="100" workbookViewId="0">
      <selection activeCell="D13" sqref="D13:P13"/>
    </sheetView>
  </sheetViews>
  <sheetFormatPr defaultColWidth="9.5703125" defaultRowHeight="15" x14ac:dyDescent="0.25"/>
  <cols>
    <col min="2" max="2" width="13.5703125" customWidth="1"/>
    <col min="3" max="3" width="11.5703125" bestFit="1" customWidth="1"/>
    <col min="18" max="18" width="11.28515625" bestFit="1" customWidth="1"/>
    <col min="19" max="19" width="11.5703125" bestFit="1" customWidth="1"/>
    <col min="26" max="26" width="11.7109375" customWidth="1"/>
    <col min="27" max="27" width="17.5703125" customWidth="1"/>
    <col min="29" max="29" width="16" bestFit="1" customWidth="1"/>
    <col min="31" max="31" width="16.42578125" bestFit="1" customWidth="1"/>
  </cols>
  <sheetData>
    <row r="1" spans="1:38" x14ac:dyDescent="0.25">
      <c r="A1" t="s">
        <v>191</v>
      </c>
      <c r="T1" s="12"/>
    </row>
    <row r="2" spans="1:38" x14ac:dyDescent="0.25">
      <c r="A2" s="40">
        <v>0</v>
      </c>
      <c r="B2" s="18"/>
      <c r="C2" t="s">
        <v>190</v>
      </c>
      <c r="D2" s="42" t="s">
        <v>751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13"/>
      <c r="R2" s="18"/>
      <c r="S2" t="s">
        <v>190</v>
      </c>
      <c r="T2" s="43" t="s">
        <v>189</v>
      </c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3"/>
    </row>
    <row r="3" spans="1:38" ht="15.75" thickBot="1" x14ac:dyDescent="0.3">
      <c r="A3" s="40"/>
      <c r="B3" s="18"/>
      <c r="C3" t="s">
        <v>1702</v>
      </c>
      <c r="D3" s="41">
        <v>1</v>
      </c>
      <c r="E3" s="41"/>
      <c r="F3" s="41">
        <v>0.8</v>
      </c>
      <c r="G3" s="41"/>
      <c r="H3" s="41">
        <v>0.6</v>
      </c>
      <c r="I3" s="41"/>
      <c r="J3" s="41">
        <v>0.4</v>
      </c>
      <c r="K3" s="41"/>
      <c r="L3" s="41">
        <v>0.23</v>
      </c>
      <c r="M3" s="41"/>
      <c r="N3" s="41">
        <v>0.2</v>
      </c>
      <c r="O3" s="41"/>
      <c r="P3" s="41">
        <v>0</v>
      </c>
      <c r="Q3" s="41"/>
      <c r="R3" s="18"/>
      <c r="S3" t="s">
        <v>1702</v>
      </c>
      <c r="T3" s="45">
        <v>1</v>
      </c>
      <c r="U3" s="41"/>
      <c r="V3" s="41">
        <v>0.8</v>
      </c>
      <c r="W3" s="41"/>
      <c r="X3" s="41">
        <v>0.6</v>
      </c>
      <c r="Y3" s="41"/>
      <c r="Z3" s="17"/>
      <c r="AA3" s="17"/>
      <c r="AB3" s="41">
        <v>0.4</v>
      </c>
      <c r="AC3" s="41"/>
      <c r="AD3" s="41">
        <v>0.35</v>
      </c>
      <c r="AE3" s="41"/>
      <c r="AF3" s="41">
        <v>0.2</v>
      </c>
      <c r="AG3" s="41"/>
      <c r="AH3" s="41">
        <v>0</v>
      </c>
      <c r="AI3" s="44"/>
    </row>
    <row r="4" spans="1:38" x14ac:dyDescent="0.25">
      <c r="A4" s="40"/>
      <c r="B4" s="19" t="s">
        <v>1706</v>
      </c>
      <c r="C4" s="24" t="s">
        <v>1696</v>
      </c>
      <c r="D4" s="15">
        <v>-0.92402099999999998</v>
      </c>
      <c r="E4" s="15">
        <v>2.1114099999999998</v>
      </c>
      <c r="F4">
        <v>-0.88569399999999998</v>
      </c>
      <c r="G4">
        <v>1.81795</v>
      </c>
      <c r="H4">
        <v>-0.84735300000000002</v>
      </c>
      <c r="I4">
        <v>1.4659500000000001</v>
      </c>
      <c r="J4">
        <v>-0.80879100000000004</v>
      </c>
      <c r="K4">
        <v>0.99512400000000001</v>
      </c>
      <c r="L4" s="16">
        <v>-0.79938100000000001</v>
      </c>
      <c r="M4" s="16">
        <v>0</v>
      </c>
      <c r="N4">
        <v>-1.18703</v>
      </c>
      <c r="O4">
        <v>0</v>
      </c>
      <c r="P4">
        <v>-1.88896</v>
      </c>
      <c r="Q4">
        <v>0</v>
      </c>
      <c r="R4" s="19" t="s">
        <v>1706</v>
      </c>
      <c r="S4" s="24" t="s">
        <v>1696</v>
      </c>
      <c r="T4" s="12">
        <v>-0.93060500000000002</v>
      </c>
      <c r="U4">
        <v>2.0134400000000001</v>
      </c>
      <c r="V4">
        <v>-0.89475099999999996</v>
      </c>
      <c r="W4">
        <v>1.6788799999999999</v>
      </c>
      <c r="X4">
        <v>-0.85880299999999998</v>
      </c>
      <c r="Y4">
        <v>1.25735</v>
      </c>
      <c r="AB4">
        <v>-0.82147099999999995</v>
      </c>
      <c r="AC4">
        <v>0.58301000000000003</v>
      </c>
      <c r="AD4" s="16">
        <v>-0.809836</v>
      </c>
      <c r="AE4" s="16">
        <v>0.16364999999999999</v>
      </c>
      <c r="AF4">
        <v>-1.7378199999999999</v>
      </c>
      <c r="AG4">
        <v>0</v>
      </c>
      <c r="AH4">
        <v>-2.2173500000000002</v>
      </c>
      <c r="AI4">
        <v>0</v>
      </c>
    </row>
    <row r="5" spans="1:38" x14ac:dyDescent="0.25">
      <c r="A5" s="40"/>
      <c r="B5" s="20"/>
      <c r="C5" s="21"/>
      <c r="D5" s="15">
        <v>-0.92402099999999998</v>
      </c>
      <c r="E5" s="15">
        <v>-2.1114099999999998</v>
      </c>
      <c r="F5">
        <v>-0.88569399999999998</v>
      </c>
      <c r="G5">
        <v>-1.81795</v>
      </c>
      <c r="H5">
        <v>-0.84735300000000002</v>
      </c>
      <c r="I5">
        <v>-1.4659500000000001</v>
      </c>
      <c r="J5">
        <v>-0.80879100000000004</v>
      </c>
      <c r="K5">
        <v>-0.99512400000000001</v>
      </c>
      <c r="L5" s="16">
        <v>-0.74395999999999995</v>
      </c>
      <c r="M5" s="16">
        <v>0</v>
      </c>
      <c r="N5">
        <v>-0.32985999999999999</v>
      </c>
      <c r="O5">
        <v>0</v>
      </c>
      <c r="P5">
        <v>0.43648399999999998</v>
      </c>
      <c r="Q5">
        <v>0</v>
      </c>
      <c r="R5" s="20"/>
      <c r="S5" s="21"/>
      <c r="T5" s="12">
        <v>-0.93060500000000002</v>
      </c>
      <c r="U5">
        <v>-2.0134400000000001</v>
      </c>
      <c r="V5">
        <v>-0.89475099999999996</v>
      </c>
      <c r="W5">
        <v>-1.6788799999999999</v>
      </c>
      <c r="X5">
        <v>-0.85880299999999998</v>
      </c>
      <c r="Y5">
        <v>-1.25735</v>
      </c>
      <c r="Z5" s="41">
        <v>0.5</v>
      </c>
      <c r="AA5" s="41"/>
      <c r="AB5">
        <v>-0.82147099999999995</v>
      </c>
      <c r="AC5">
        <v>-0.58301000000000003</v>
      </c>
      <c r="AD5" s="16">
        <v>-0.809836</v>
      </c>
      <c r="AE5" s="16">
        <v>-0.16364999999999999</v>
      </c>
      <c r="AF5">
        <v>0.209372</v>
      </c>
      <c r="AG5">
        <v>0</v>
      </c>
      <c r="AH5">
        <v>0.71925799999999995</v>
      </c>
      <c r="AI5">
        <v>0</v>
      </c>
    </row>
    <row r="6" spans="1:38" x14ac:dyDescent="0.25">
      <c r="A6" s="40"/>
      <c r="B6" s="20" t="s">
        <v>1707</v>
      </c>
      <c r="C6" s="21" t="s">
        <v>1697</v>
      </c>
      <c r="D6" s="15">
        <v>-5.34911E-4</v>
      </c>
      <c r="E6" s="15">
        <v>7.4675500000000006E-2</v>
      </c>
      <c r="F6">
        <v>-5.6762499999999999E-4</v>
      </c>
      <c r="G6">
        <v>7.3352100000000003E-2</v>
      </c>
      <c r="H6">
        <v>-6.1798500000000004E-4</v>
      </c>
      <c r="I6">
        <v>7.0826299999999995E-2</v>
      </c>
      <c r="J6">
        <v>-8.9349899999999996E-4</v>
      </c>
      <c r="K6">
        <v>6.4103999999999994E-2</v>
      </c>
      <c r="L6" s="16">
        <v>-5.4738699999999996E-3</v>
      </c>
      <c r="M6" s="16">
        <v>2.0823600000000001E-2</v>
      </c>
      <c r="N6">
        <v>-6.1807899999999999E-2</v>
      </c>
      <c r="O6">
        <v>0</v>
      </c>
      <c r="P6">
        <v>-6.8859500000000001E-3</v>
      </c>
      <c r="Q6">
        <v>0.101295</v>
      </c>
      <c r="R6" s="20" t="s">
        <v>1707</v>
      </c>
      <c r="S6" s="21" t="s">
        <v>1697</v>
      </c>
      <c r="T6" s="12">
        <v>2.6493099999999999E-4</v>
      </c>
      <c r="U6">
        <v>7.3971899999999993E-2</v>
      </c>
      <c r="V6">
        <v>2.3818999999999999E-4</v>
      </c>
      <c r="W6">
        <v>7.2108900000000004E-2</v>
      </c>
      <c r="X6">
        <v>1.1254100000000001E-4</v>
      </c>
      <c r="Y6">
        <v>6.7976900000000007E-2</v>
      </c>
      <c r="Z6" s="29">
        <v>6.1126100000000004E-5</v>
      </c>
      <c r="AA6" s="16">
        <v>6.68792E-2</v>
      </c>
      <c r="AB6">
        <v>-1.4019600000000001E-3</v>
      </c>
      <c r="AC6">
        <v>5.0646200000000002E-2</v>
      </c>
      <c r="AF6">
        <v>-2.2846399999999999E-2</v>
      </c>
      <c r="AG6">
        <v>0.12088599999999999</v>
      </c>
      <c r="AH6">
        <v>-2.2155299999999998E-3</v>
      </c>
      <c r="AI6">
        <v>9.2389799999999994E-2</v>
      </c>
    </row>
    <row r="7" spans="1:38" x14ac:dyDescent="0.25">
      <c r="A7" s="40"/>
      <c r="B7" s="20"/>
      <c r="C7" s="21"/>
      <c r="D7" s="15">
        <v>-5.34911E-4</v>
      </c>
      <c r="E7" s="15">
        <v>-7.4675500000000006E-2</v>
      </c>
      <c r="F7">
        <v>-5.6762499999999999E-4</v>
      </c>
      <c r="G7">
        <v>-7.3352100000000003E-2</v>
      </c>
      <c r="H7">
        <v>-6.1798500000000004E-4</v>
      </c>
      <c r="I7">
        <v>-7.0826299999999995E-2</v>
      </c>
      <c r="J7">
        <v>-8.9349899999999996E-4</v>
      </c>
      <c r="K7">
        <v>-6.4103999999999994E-2</v>
      </c>
      <c r="L7" s="16">
        <v>-5.4738699999999996E-3</v>
      </c>
      <c r="M7" s="16">
        <v>-2.0823600000000001E-2</v>
      </c>
      <c r="N7">
        <v>3.5890900000000003E-2</v>
      </c>
      <c r="O7">
        <v>0</v>
      </c>
      <c r="P7">
        <v>-6.8859500000000001E-3</v>
      </c>
      <c r="Q7">
        <v>-0.101295</v>
      </c>
      <c r="R7" s="20"/>
      <c r="S7" s="21"/>
      <c r="T7" s="12">
        <v>2.6493099999999999E-4</v>
      </c>
      <c r="U7">
        <v>-7.3971899999999993E-2</v>
      </c>
      <c r="V7">
        <v>2.3818999999999999E-4</v>
      </c>
      <c r="W7">
        <v>-7.2108900000000004E-2</v>
      </c>
      <c r="X7">
        <v>1.1254100000000001E-4</v>
      </c>
      <c r="Y7">
        <v>-6.7976900000000007E-2</v>
      </c>
      <c r="Z7" s="29">
        <v>6.1126100000000004E-5</v>
      </c>
      <c r="AA7" s="16">
        <v>-6.68792E-2</v>
      </c>
      <c r="AB7">
        <v>-1.4019600000000001E-3</v>
      </c>
      <c r="AC7">
        <v>-5.0646200000000002E-2</v>
      </c>
      <c r="AF7">
        <v>-2.2846399999999999E-2</v>
      </c>
      <c r="AG7">
        <v>-0.12088599999999999</v>
      </c>
      <c r="AH7">
        <v>-2.2155299999999998E-3</v>
      </c>
      <c r="AI7">
        <v>-9.2389799999999994E-2</v>
      </c>
    </row>
    <row r="8" spans="1:38" x14ac:dyDescent="0.25">
      <c r="A8" s="40"/>
      <c r="B8" s="20" t="s">
        <v>1710</v>
      </c>
      <c r="C8" s="21" t="s">
        <v>1698</v>
      </c>
      <c r="D8" s="32">
        <v>-2.43309</v>
      </c>
      <c r="E8" s="32">
        <v>0</v>
      </c>
      <c r="F8" s="33">
        <v>-2.4345599999999998</v>
      </c>
      <c r="G8" s="33">
        <v>0</v>
      </c>
      <c r="H8" s="33">
        <v>-2.43607</v>
      </c>
      <c r="I8" s="33">
        <v>0</v>
      </c>
      <c r="J8" s="33">
        <v>-2.4376500000000001</v>
      </c>
      <c r="K8" s="33">
        <v>0</v>
      </c>
      <c r="L8" s="33"/>
      <c r="M8" s="33"/>
      <c r="N8" s="33">
        <v>-2.4392800000000001</v>
      </c>
      <c r="O8" s="33">
        <v>0</v>
      </c>
      <c r="P8" s="33">
        <v>-2.4409800000000001</v>
      </c>
      <c r="Q8" s="33">
        <v>0</v>
      </c>
      <c r="R8" s="34" t="s">
        <v>1710</v>
      </c>
      <c r="S8" s="35" t="s">
        <v>1698</v>
      </c>
      <c r="T8" s="36">
        <v>-4.1398400000000004</v>
      </c>
      <c r="U8" s="33">
        <v>0</v>
      </c>
      <c r="V8" s="33">
        <v>-4.1406900000000002</v>
      </c>
      <c r="W8" s="33">
        <v>0</v>
      </c>
      <c r="X8" s="33">
        <v>-4.1415300000000004</v>
      </c>
      <c r="Y8" s="33">
        <v>0</v>
      </c>
      <c r="Z8" s="33"/>
      <c r="AA8" s="33"/>
      <c r="AB8" s="33">
        <v>-4.14236</v>
      </c>
      <c r="AC8" s="33">
        <v>0</v>
      </c>
      <c r="AD8" s="33"/>
      <c r="AE8" s="33"/>
      <c r="AF8" s="33">
        <v>-4.1431800000000001</v>
      </c>
      <c r="AG8" s="33">
        <v>0</v>
      </c>
      <c r="AH8" s="33">
        <v>-4.1439899999999996</v>
      </c>
      <c r="AI8" s="33">
        <v>0</v>
      </c>
    </row>
    <row r="9" spans="1:38" x14ac:dyDescent="0.25">
      <c r="A9" s="40"/>
      <c r="B9" s="20" t="s">
        <v>1709</v>
      </c>
      <c r="C9" s="21" t="s">
        <v>1699</v>
      </c>
      <c r="D9" s="15">
        <v>3.6053000000000001E-3</v>
      </c>
      <c r="E9" s="15">
        <v>0</v>
      </c>
      <c r="F9">
        <v>3.3550300000000002E-3</v>
      </c>
      <c r="G9">
        <v>0</v>
      </c>
      <c r="H9">
        <v>3.1005400000000002E-3</v>
      </c>
      <c r="I9">
        <v>0</v>
      </c>
      <c r="J9">
        <v>2.8414400000000002E-3</v>
      </c>
      <c r="K9">
        <v>0</v>
      </c>
      <c r="N9">
        <v>2.5774600000000002E-3</v>
      </c>
      <c r="O9">
        <v>0</v>
      </c>
      <c r="P9">
        <v>2.30817E-3</v>
      </c>
      <c r="Q9">
        <v>0</v>
      </c>
      <c r="R9" s="20" t="s">
        <v>1709</v>
      </c>
      <c r="S9" s="21" t="s">
        <v>1699</v>
      </c>
      <c r="T9">
        <v>-1.03807E-2</v>
      </c>
      <c r="U9">
        <v>0</v>
      </c>
      <c r="V9">
        <v>-1.6442399999999999E-2</v>
      </c>
      <c r="W9">
        <v>0</v>
      </c>
      <c r="X9">
        <v>-2.7101E-2</v>
      </c>
      <c r="Y9">
        <v>0</v>
      </c>
      <c r="AB9">
        <v>-5.1176800000000001E-2</v>
      </c>
      <c r="AC9">
        <v>0</v>
      </c>
      <c r="AD9" s="41">
        <v>0.21</v>
      </c>
      <c r="AE9" s="41"/>
      <c r="AF9">
        <v>-0.142072</v>
      </c>
      <c r="AG9">
        <v>0</v>
      </c>
      <c r="AH9">
        <v>-0.33420699999999998</v>
      </c>
      <c r="AI9">
        <v>0</v>
      </c>
    </row>
    <row r="10" spans="1:38" ht="15.75" thickBot="1" x14ac:dyDescent="0.3">
      <c r="A10" s="40"/>
      <c r="B10" s="22" t="s">
        <v>1708</v>
      </c>
      <c r="C10" s="23" t="s">
        <v>1700</v>
      </c>
      <c r="D10" s="15">
        <v>-0.19905200000000001</v>
      </c>
      <c r="E10" s="15">
        <v>3.84171</v>
      </c>
      <c r="F10">
        <v>-0.19623499999999999</v>
      </c>
      <c r="G10">
        <v>3.79793</v>
      </c>
      <c r="H10">
        <v>-0.193386</v>
      </c>
      <c r="I10">
        <v>3.7536700000000001</v>
      </c>
      <c r="J10">
        <v>-0.190502</v>
      </c>
      <c r="K10">
        <v>3.70892</v>
      </c>
      <c r="N10">
        <v>-0.187583</v>
      </c>
      <c r="O10">
        <v>3.66364</v>
      </c>
      <c r="P10">
        <v>-0.18462500000000001</v>
      </c>
      <c r="Q10">
        <v>3.6178300000000001</v>
      </c>
      <c r="R10" s="22" t="s">
        <v>1708</v>
      </c>
      <c r="S10" s="23" t="s">
        <v>1700</v>
      </c>
      <c r="T10" s="12">
        <v>-6.2009000000000002E-2</v>
      </c>
      <c r="U10">
        <v>-0.68281000000000003</v>
      </c>
      <c r="V10">
        <v>-5.8445499999999997E-2</v>
      </c>
      <c r="W10">
        <v>0.603302</v>
      </c>
      <c r="X10">
        <v>-5.2583199999999997E-2</v>
      </c>
      <c r="Y10">
        <v>0.511652</v>
      </c>
      <c r="AB10">
        <v>-4.0012699999999998E-2</v>
      </c>
      <c r="AC10">
        <v>0.39991599999999999</v>
      </c>
      <c r="AD10" s="16">
        <v>1.66292E-3</v>
      </c>
      <c r="AE10" s="16">
        <v>0.263629</v>
      </c>
      <c r="AF10" s="25">
        <v>5.9771099999999999E-3</v>
      </c>
      <c r="AG10">
        <v>0.25620599999999999</v>
      </c>
      <c r="AH10">
        <v>0.102576</v>
      </c>
      <c r="AI10">
        <v>0.143149</v>
      </c>
    </row>
    <row r="11" spans="1:38" x14ac:dyDescent="0.25">
      <c r="A11" s="40"/>
      <c r="B11" s="18"/>
      <c r="D11" s="15">
        <v>-0.19905200000000001</v>
      </c>
      <c r="E11" s="15">
        <v>-3.84171</v>
      </c>
      <c r="F11">
        <v>-0.19623499999999999</v>
      </c>
      <c r="G11">
        <v>-3.79793</v>
      </c>
      <c r="H11">
        <v>-0.193386</v>
      </c>
      <c r="I11">
        <v>-3.7536700000000001</v>
      </c>
      <c r="J11">
        <v>-0.190502</v>
      </c>
      <c r="K11">
        <v>-3.70892</v>
      </c>
      <c r="N11">
        <v>-0.187583</v>
      </c>
      <c r="O11">
        <v>-3.66364</v>
      </c>
      <c r="P11">
        <v>-0.18462500000000001</v>
      </c>
      <c r="Q11">
        <v>-3.6178300000000001</v>
      </c>
      <c r="R11" s="18"/>
      <c r="T11" s="12">
        <v>-6.2009000000000002E-2</v>
      </c>
      <c r="U11">
        <v>0.68281000000000003</v>
      </c>
      <c r="V11">
        <v>-5.8445499999999997E-2</v>
      </c>
      <c r="W11">
        <v>-0.603302</v>
      </c>
      <c r="X11">
        <v>-5.2583199999999997E-2</v>
      </c>
      <c r="Y11">
        <v>-0.511652</v>
      </c>
      <c r="AB11">
        <v>-4.0012699999999998E-2</v>
      </c>
      <c r="AC11">
        <v>-0.39991599999999999</v>
      </c>
      <c r="AD11" s="16">
        <v>1.66292E-3</v>
      </c>
      <c r="AE11" s="16">
        <v>-0.263629</v>
      </c>
      <c r="AF11" s="25">
        <v>5.9771099999999999E-3</v>
      </c>
      <c r="AG11">
        <v>-0.25620599999999999</v>
      </c>
      <c r="AH11">
        <v>0.102576</v>
      </c>
      <c r="AI11">
        <v>-0.143149</v>
      </c>
    </row>
    <row r="12" spans="1:38" x14ac:dyDescent="0.25">
      <c r="A12" t="s">
        <v>191</v>
      </c>
      <c r="D12" t="s">
        <v>1703</v>
      </c>
      <c r="E12" t="s">
        <v>1704</v>
      </c>
      <c r="F12" t="s">
        <v>1703</v>
      </c>
      <c r="G12" t="s">
        <v>1704</v>
      </c>
      <c r="J12" t="s">
        <v>1703</v>
      </c>
      <c r="K12" t="s">
        <v>1704</v>
      </c>
      <c r="N12" t="s">
        <v>1703</v>
      </c>
      <c r="O12" t="s">
        <v>1704</v>
      </c>
      <c r="P12" t="s">
        <v>1703</v>
      </c>
      <c r="Q12" t="s">
        <v>1704</v>
      </c>
      <c r="T12" s="12" t="s">
        <v>1703</v>
      </c>
      <c r="U12" t="s">
        <v>1704</v>
      </c>
      <c r="V12" t="s">
        <v>1703</v>
      </c>
      <c r="W12" t="s">
        <v>1704</v>
      </c>
      <c r="X12" t="s">
        <v>1703</v>
      </c>
      <c r="Y12" t="s">
        <v>1704</v>
      </c>
      <c r="AF12" t="s">
        <v>1703</v>
      </c>
      <c r="AG12" t="s">
        <v>1704</v>
      </c>
      <c r="AH12" t="s">
        <v>1703</v>
      </c>
      <c r="AI12" t="s">
        <v>1704</v>
      </c>
    </row>
    <row r="13" spans="1:38" x14ac:dyDescent="0.25">
      <c r="A13" s="40">
        <v>60</v>
      </c>
      <c r="B13" s="18"/>
      <c r="C13" t="s">
        <v>190</v>
      </c>
      <c r="D13" s="42" t="s">
        <v>751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13"/>
      <c r="R13" s="18"/>
      <c r="S13" t="s">
        <v>190</v>
      </c>
      <c r="T13" s="43" t="s">
        <v>189</v>
      </c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13"/>
    </row>
    <row r="14" spans="1:38" ht="15.75" thickBot="1" x14ac:dyDescent="0.3">
      <c r="A14" s="40"/>
      <c r="B14" s="18"/>
      <c r="C14" t="s">
        <v>1702</v>
      </c>
      <c r="D14" s="41">
        <v>1</v>
      </c>
      <c r="E14" s="41"/>
      <c r="F14" s="41">
        <v>0.8</v>
      </c>
      <c r="G14" s="41"/>
      <c r="H14" s="41">
        <v>0.6</v>
      </c>
      <c r="I14" s="41"/>
      <c r="J14" s="41">
        <v>0.4</v>
      </c>
      <c r="K14" s="41"/>
      <c r="L14" s="41">
        <v>0.24</v>
      </c>
      <c r="M14" s="41"/>
      <c r="N14" s="41">
        <v>0.2</v>
      </c>
      <c r="O14" s="41"/>
      <c r="P14" s="41">
        <v>0</v>
      </c>
      <c r="Q14" s="41"/>
      <c r="R14" s="18"/>
      <c r="S14" t="s">
        <v>1702</v>
      </c>
      <c r="T14" s="45">
        <v>1</v>
      </c>
      <c r="U14" s="41"/>
      <c r="V14" s="41">
        <v>0.8</v>
      </c>
      <c r="W14" s="41"/>
      <c r="X14" s="41">
        <v>0.6</v>
      </c>
      <c r="Y14" s="41"/>
      <c r="Z14" s="17"/>
      <c r="AA14" s="17"/>
      <c r="AB14" s="41">
        <v>0.4</v>
      </c>
      <c r="AC14" s="41"/>
      <c r="AD14" s="41" t="s">
        <v>1712</v>
      </c>
      <c r="AE14" s="41"/>
      <c r="AF14" s="41">
        <v>0.2</v>
      </c>
      <c r="AG14" s="41"/>
      <c r="AH14" s="41">
        <v>0</v>
      </c>
      <c r="AI14" s="44"/>
      <c r="AK14" t="s">
        <v>1705</v>
      </c>
    </row>
    <row r="15" spans="1:38" x14ac:dyDescent="0.25">
      <c r="A15" s="40"/>
      <c r="B15" s="19" t="s">
        <v>1711</v>
      </c>
      <c r="C15" s="24" t="s">
        <v>1696</v>
      </c>
      <c r="D15">
        <v>-0.89271299999999998</v>
      </c>
      <c r="E15">
        <v>2.0456099999999999</v>
      </c>
      <c r="F15">
        <v>-0.85643100000000005</v>
      </c>
      <c r="G15">
        <v>1.7562800000000001</v>
      </c>
      <c r="H15">
        <v>-0.82015000000000005</v>
      </c>
      <c r="I15">
        <v>1.4078299999999999</v>
      </c>
      <c r="J15">
        <v>-0.78379799999999999</v>
      </c>
      <c r="K15">
        <v>0.93639300000000003</v>
      </c>
      <c r="L15" s="16">
        <v>-0.85408399999999995</v>
      </c>
      <c r="M15" s="16">
        <v>0</v>
      </c>
      <c r="N15">
        <v>-1.22868</v>
      </c>
      <c r="O15">
        <v>0</v>
      </c>
      <c r="P15">
        <v>-1.86988</v>
      </c>
      <c r="Q15">
        <v>0</v>
      </c>
      <c r="R15" s="19" t="s">
        <v>1711</v>
      </c>
      <c r="S15" s="24" t="s">
        <v>1696</v>
      </c>
      <c r="T15" s="12">
        <v>-0.89757299999999995</v>
      </c>
      <c r="U15">
        <v>1.9421200000000001</v>
      </c>
      <c r="V15" s="25">
        <v>-0.86270999999999998</v>
      </c>
      <c r="W15">
        <v>1.6100099999999999</v>
      </c>
      <c r="X15">
        <v>-0.82436699999999996</v>
      </c>
      <c r="Y15">
        <v>1.1872199999999999</v>
      </c>
      <c r="AB15">
        <v>-0.72582999999999998</v>
      </c>
      <c r="AC15">
        <v>0.39501999999999998</v>
      </c>
      <c r="AD15" s="16">
        <v>-0.75997000000000003</v>
      </c>
      <c r="AE15" s="16">
        <v>0</v>
      </c>
      <c r="AF15">
        <v>-1.92632</v>
      </c>
      <c r="AG15">
        <v>0</v>
      </c>
      <c r="AH15">
        <v>-3.0672799999999998</v>
      </c>
      <c r="AI15">
        <v>0</v>
      </c>
      <c r="AK15">
        <v>-0.03</v>
      </c>
      <c r="AL15">
        <v>-0.25</v>
      </c>
    </row>
    <row r="16" spans="1:38" x14ac:dyDescent="0.25">
      <c r="A16" s="40"/>
      <c r="B16" s="20"/>
      <c r="C16" s="21"/>
      <c r="D16">
        <v>-0.89271299999999998</v>
      </c>
      <c r="E16">
        <v>-2.0456099999999999</v>
      </c>
      <c r="F16">
        <v>-0.85643100000000005</v>
      </c>
      <c r="G16">
        <v>-1.7562800000000001</v>
      </c>
      <c r="H16">
        <v>-0.82015000000000005</v>
      </c>
      <c r="I16">
        <v>-1.4078299999999999</v>
      </c>
      <c r="J16">
        <v>-0.78379799999999999</v>
      </c>
      <c r="K16">
        <v>-0.93639300000000003</v>
      </c>
      <c r="L16" s="16">
        <v>-0.65397499999999997</v>
      </c>
      <c r="M16" s="16">
        <v>0</v>
      </c>
      <c r="N16">
        <v>-0.26192700000000002</v>
      </c>
      <c r="O16">
        <v>0</v>
      </c>
      <c r="P16">
        <v>0.44540299999999999</v>
      </c>
      <c r="Q16">
        <v>0</v>
      </c>
      <c r="R16" s="20"/>
      <c r="S16" s="21"/>
      <c r="T16" s="12">
        <v>-0.89757299999999995</v>
      </c>
      <c r="U16">
        <v>-1.9421200000000001</v>
      </c>
      <c r="V16" s="25">
        <v>-0.86270999999999998</v>
      </c>
      <c r="W16">
        <v>-1.6100099999999999</v>
      </c>
      <c r="X16">
        <v>-0.82436699999999996</v>
      </c>
      <c r="Y16">
        <v>-1.1872199999999999</v>
      </c>
      <c r="Z16" s="41">
        <v>0.5</v>
      </c>
      <c r="AA16" s="41"/>
      <c r="AB16">
        <v>-0.72582999999999998</v>
      </c>
      <c r="AC16">
        <v>-0.39501999999999998</v>
      </c>
      <c r="AD16" s="16">
        <v>-0.64070199999999999</v>
      </c>
      <c r="AE16" s="16">
        <v>0</v>
      </c>
      <c r="AF16">
        <v>0.83291400000000004</v>
      </c>
      <c r="AG16">
        <v>0</v>
      </c>
      <c r="AH16">
        <v>2.24396</v>
      </c>
      <c r="AI16">
        <v>0</v>
      </c>
      <c r="AK16">
        <v>-0.03</v>
      </c>
      <c r="AL16">
        <v>0.25</v>
      </c>
    </row>
    <row r="17" spans="1:38" x14ac:dyDescent="0.25">
      <c r="A17" s="40"/>
      <c r="B17" s="20" t="s">
        <v>1707</v>
      </c>
      <c r="C17" s="21" t="s">
        <v>1697</v>
      </c>
      <c r="D17">
        <v>5.6125000000000003E-3</v>
      </c>
      <c r="E17">
        <v>0.116245</v>
      </c>
      <c r="F17">
        <v>5.4640599999999998E-3</v>
      </c>
      <c r="G17">
        <v>0.116207</v>
      </c>
      <c r="H17">
        <v>5.3574199999999999E-3</v>
      </c>
      <c r="I17">
        <v>0.11612599999999999</v>
      </c>
      <c r="J17">
        <v>5.3927799999999998E-3</v>
      </c>
      <c r="K17">
        <v>0.115898</v>
      </c>
      <c r="N17">
        <v>6.2943599999999997E-3</v>
      </c>
      <c r="O17">
        <v>0.113637</v>
      </c>
      <c r="P17">
        <v>3.0973200000000002E-3</v>
      </c>
      <c r="Q17">
        <v>0.116909</v>
      </c>
      <c r="R17" s="20" t="s">
        <v>1707</v>
      </c>
      <c r="S17" s="21" t="s">
        <v>1697</v>
      </c>
      <c r="T17" s="12">
        <v>7.5309499999999996E-4</v>
      </c>
      <c r="U17">
        <v>0.112305</v>
      </c>
      <c r="V17">
        <v>-1.1764E-3</v>
      </c>
      <c r="W17">
        <v>0.11121200000000001</v>
      </c>
      <c r="X17">
        <v>-4.5391800000000003E-3</v>
      </c>
      <c r="Y17">
        <v>0.109485</v>
      </c>
      <c r="Z17" s="28" t="s">
        <v>1716</v>
      </c>
      <c r="AA17" s="28"/>
      <c r="AB17">
        <v>-1.66807E-2</v>
      </c>
      <c r="AC17">
        <v>0.11032400000000001</v>
      </c>
      <c r="AD17" s="16">
        <v>8.5196700000000002E-4</v>
      </c>
      <c r="AE17" s="16">
        <v>0.124432</v>
      </c>
      <c r="AF17">
        <v>5.0568699999999998E-3</v>
      </c>
      <c r="AG17">
        <v>0.119598</v>
      </c>
      <c r="AH17">
        <v>7.0411299999999996E-3</v>
      </c>
      <c r="AI17">
        <v>0.11666700000000001</v>
      </c>
      <c r="AK17">
        <v>0.03</v>
      </c>
      <c r="AL17">
        <v>-0.25</v>
      </c>
    </row>
    <row r="18" spans="1:38" x14ac:dyDescent="0.25">
      <c r="A18" s="40"/>
      <c r="B18" s="20"/>
      <c r="C18" s="21"/>
      <c r="D18">
        <v>5.6125000000000003E-3</v>
      </c>
      <c r="E18">
        <v>-0.116245</v>
      </c>
      <c r="F18">
        <v>5.4640599999999998E-3</v>
      </c>
      <c r="G18">
        <v>-0.116207</v>
      </c>
      <c r="H18">
        <v>5.3574199999999999E-3</v>
      </c>
      <c r="I18">
        <v>-0.11612599999999999</v>
      </c>
      <c r="J18">
        <v>5.3927799999999998E-3</v>
      </c>
      <c r="K18">
        <v>-0.115898</v>
      </c>
      <c r="N18">
        <v>6.2943599999999997E-3</v>
      </c>
      <c r="O18">
        <v>-0.113637</v>
      </c>
      <c r="P18">
        <v>3.0973200000000002E-3</v>
      </c>
      <c r="Q18">
        <v>-0.116909</v>
      </c>
      <c r="R18" s="20"/>
      <c r="S18" s="21"/>
      <c r="T18" s="12">
        <v>7.5309499999999996E-4</v>
      </c>
      <c r="U18">
        <v>-0.112305</v>
      </c>
      <c r="V18">
        <v>-1.1764E-3</v>
      </c>
      <c r="W18">
        <v>-0.11121200000000001</v>
      </c>
      <c r="X18">
        <v>-4.5391800000000003E-3</v>
      </c>
      <c r="Y18">
        <v>-0.109485</v>
      </c>
      <c r="Z18" s="28" t="s">
        <v>1718</v>
      </c>
      <c r="AA18" s="28"/>
      <c r="AB18">
        <v>-1.66807E-2</v>
      </c>
      <c r="AC18">
        <v>-0.11032400000000001</v>
      </c>
      <c r="AD18" s="16">
        <v>8.5196700000000002E-4</v>
      </c>
      <c r="AE18" s="16">
        <v>-0.124432</v>
      </c>
      <c r="AF18">
        <v>5.0568699999999998E-3</v>
      </c>
      <c r="AG18">
        <v>-0.119598</v>
      </c>
      <c r="AH18">
        <v>7.0411299999999996E-3</v>
      </c>
      <c r="AI18">
        <v>-0.11666700000000001</v>
      </c>
      <c r="AK18">
        <v>0.03</v>
      </c>
      <c r="AL18">
        <v>0.25</v>
      </c>
    </row>
    <row r="19" spans="1:38" x14ac:dyDescent="0.25">
      <c r="A19" s="40"/>
      <c r="B19" s="20" t="s">
        <v>1710</v>
      </c>
      <c r="C19" s="35" t="s">
        <v>1698</v>
      </c>
      <c r="D19" s="33">
        <v>-2.4758900000000001</v>
      </c>
      <c r="E19" s="33">
        <v>0</v>
      </c>
      <c r="F19" s="33">
        <v>-2.4788000000000001</v>
      </c>
      <c r="G19" s="33">
        <v>0</v>
      </c>
      <c r="H19" s="33">
        <v>-2.4817499999999999</v>
      </c>
      <c r="I19" s="33">
        <v>0</v>
      </c>
      <c r="J19" s="33">
        <v>-2.4847399999999999</v>
      </c>
      <c r="K19" s="33">
        <v>0</v>
      </c>
      <c r="L19" s="46">
        <v>0.23</v>
      </c>
      <c r="M19" s="46"/>
      <c r="N19" s="33">
        <v>-2.4877699999999998</v>
      </c>
      <c r="O19" s="33">
        <v>0</v>
      </c>
      <c r="P19" s="33">
        <v>-2.4908000000000001</v>
      </c>
      <c r="Q19" s="33">
        <v>0</v>
      </c>
      <c r="R19" s="34" t="s">
        <v>1710</v>
      </c>
      <c r="S19" s="35" t="s">
        <v>1698</v>
      </c>
      <c r="T19" s="36">
        <v>-4.0634600000000001</v>
      </c>
      <c r="U19" s="33">
        <v>0</v>
      </c>
      <c r="V19" s="33">
        <v>-4.0669599999999999</v>
      </c>
      <c r="W19" s="33">
        <v>0</v>
      </c>
      <c r="X19" s="33">
        <v>-4.0703899999999997</v>
      </c>
      <c r="Y19" s="33">
        <v>0</v>
      </c>
      <c r="Z19" s="33"/>
      <c r="AA19" s="33"/>
      <c r="AB19" s="33">
        <v>-4.0737500000000004</v>
      </c>
      <c r="AC19" s="33">
        <v>0</v>
      </c>
      <c r="AD19" s="33"/>
      <c r="AE19" s="33"/>
      <c r="AF19" s="33">
        <v>-4.0769900000000003</v>
      </c>
      <c r="AG19" s="33">
        <v>0</v>
      </c>
      <c r="AH19" s="33">
        <v>-4.1078000000000001</v>
      </c>
      <c r="AI19" s="33">
        <v>0</v>
      </c>
    </row>
    <row r="20" spans="1:38" x14ac:dyDescent="0.25">
      <c r="A20" s="40"/>
      <c r="B20" s="20" t="s">
        <v>1709</v>
      </c>
      <c r="C20" s="21" t="s">
        <v>1699</v>
      </c>
      <c r="D20">
        <v>4.5560100000000001E-3</v>
      </c>
      <c r="E20">
        <v>0</v>
      </c>
      <c r="F20">
        <v>4.2934999999999996E-3</v>
      </c>
      <c r="G20">
        <v>0</v>
      </c>
      <c r="H20">
        <v>3.87463E-3</v>
      </c>
      <c r="I20">
        <v>0</v>
      </c>
      <c r="J20">
        <v>2.9519699999999999E-3</v>
      </c>
      <c r="K20">
        <v>0</v>
      </c>
      <c r="L20" s="16">
        <v>-8.7724700000000005E-4</v>
      </c>
      <c r="M20" s="16">
        <v>0</v>
      </c>
      <c r="N20">
        <v>-4.0730999999999996E-3</v>
      </c>
      <c r="O20">
        <v>0</v>
      </c>
      <c r="P20">
        <v>7.8407000000000008E-3</v>
      </c>
      <c r="Q20">
        <v>0</v>
      </c>
      <c r="R20" s="20" t="s">
        <v>1709</v>
      </c>
      <c r="S20" s="21" t="s">
        <v>1699</v>
      </c>
      <c r="T20" s="12">
        <v>1.05328E-2</v>
      </c>
      <c r="U20">
        <v>0</v>
      </c>
      <c r="V20">
        <v>1.3191700000000001E-2</v>
      </c>
      <c r="W20">
        <v>0</v>
      </c>
      <c r="X20">
        <v>2.0283499999999999E-2</v>
      </c>
      <c r="Y20">
        <v>0</v>
      </c>
      <c r="AB20">
        <v>6.8088099999999999E-2</v>
      </c>
      <c r="AC20">
        <v>0</v>
      </c>
      <c r="AD20" s="27" t="s">
        <v>1715</v>
      </c>
      <c r="AE20" s="16"/>
      <c r="AF20">
        <v>-1.9947900000000001E-2</v>
      </c>
      <c r="AG20">
        <v>0</v>
      </c>
      <c r="AH20">
        <v>7.7966199999999998E-3</v>
      </c>
      <c r="AI20">
        <v>0</v>
      </c>
    </row>
    <row r="21" spans="1:38" ht="15.75" thickBot="1" x14ac:dyDescent="0.3">
      <c r="A21" s="40"/>
      <c r="B21" s="22" t="s">
        <v>1708</v>
      </c>
      <c r="C21" s="23" t="s">
        <v>1700</v>
      </c>
      <c r="D21">
        <v>-0.14661099999999999</v>
      </c>
      <c r="E21">
        <v>3.8907500000000002</v>
      </c>
      <c r="F21">
        <v>-0.14397299999999999</v>
      </c>
      <c r="G21">
        <v>3.8464100000000001</v>
      </c>
      <c r="H21">
        <v>-0.141296</v>
      </c>
      <c r="I21">
        <v>3.8016299999999998</v>
      </c>
      <c r="J21">
        <v>-0.138576</v>
      </c>
      <c r="K21">
        <v>3.7563800000000001</v>
      </c>
      <c r="N21">
        <v>-0.13581199999999999</v>
      </c>
      <c r="O21">
        <v>3.7106499999999998</v>
      </c>
      <c r="P21">
        <v>-0.13300200000000001</v>
      </c>
      <c r="Q21">
        <v>3.6644000000000001</v>
      </c>
      <c r="R21" s="22" t="s">
        <v>1708</v>
      </c>
      <c r="S21" s="23" t="s">
        <v>1700</v>
      </c>
      <c r="T21" s="12">
        <v>-6.52195E-2</v>
      </c>
      <c r="U21">
        <v>0.80244899999999997</v>
      </c>
      <c r="V21">
        <v>-6.4934800000000001E-2</v>
      </c>
      <c r="W21">
        <v>0.73017699999999996</v>
      </c>
      <c r="X21">
        <v>-6.8960400000000005E-2</v>
      </c>
      <c r="Y21">
        <v>0.64769900000000002</v>
      </c>
      <c r="Z21" s="28" t="s">
        <v>1719</v>
      </c>
      <c r="AA21" s="28"/>
      <c r="AB21">
        <v>-0.14483499999999999</v>
      </c>
      <c r="AC21">
        <v>0.55261800000000005</v>
      </c>
      <c r="AF21">
        <v>-0.26825100000000002</v>
      </c>
      <c r="AG21">
        <v>1.03287</v>
      </c>
      <c r="AH21">
        <v>-0.41409899999999999</v>
      </c>
      <c r="AI21">
        <v>3.2274500000000002</v>
      </c>
    </row>
    <row r="22" spans="1:38" x14ac:dyDescent="0.25">
      <c r="A22" s="40"/>
      <c r="B22" s="18"/>
      <c r="D22">
        <v>-0.14661099999999999</v>
      </c>
      <c r="E22">
        <v>-3.8907500000000002</v>
      </c>
      <c r="F22">
        <v>-0.14397299999999999</v>
      </c>
      <c r="G22">
        <v>-3.8464100000000001</v>
      </c>
      <c r="H22">
        <v>-0.141296</v>
      </c>
      <c r="I22">
        <v>-3.8016299999999998</v>
      </c>
      <c r="J22">
        <v>-0.138576</v>
      </c>
      <c r="K22">
        <v>-3.7563800000000001</v>
      </c>
      <c r="N22">
        <v>-0.13581199999999999</v>
      </c>
      <c r="O22">
        <v>-3.7106499999999998</v>
      </c>
      <c r="P22">
        <v>-0.13300200000000001</v>
      </c>
      <c r="Q22">
        <v>-3.6644000000000001</v>
      </c>
      <c r="T22" s="12">
        <v>-6.52195E-2</v>
      </c>
      <c r="U22">
        <v>-0.80244899999999997</v>
      </c>
      <c r="V22">
        <v>-6.4934800000000001E-2</v>
      </c>
      <c r="W22">
        <v>-0.73017699999999996</v>
      </c>
      <c r="X22">
        <v>-6.8960400000000005E-2</v>
      </c>
      <c r="Y22">
        <v>-0.64769900000000002</v>
      </c>
      <c r="Z22" s="28" t="s">
        <v>1720</v>
      </c>
      <c r="AA22" s="28"/>
      <c r="AB22">
        <v>-0.14483499999999999</v>
      </c>
      <c r="AC22">
        <v>-0.55261800000000005</v>
      </c>
      <c r="AF22">
        <v>-0.26825100000000002</v>
      </c>
      <c r="AG22">
        <v>-1.03287</v>
      </c>
      <c r="AH22">
        <v>-0.41409899999999999</v>
      </c>
      <c r="AI22">
        <v>-3.2274500000000002</v>
      </c>
    </row>
    <row r="23" spans="1:38" x14ac:dyDescent="0.25">
      <c r="D23" t="s">
        <v>1703</v>
      </c>
      <c r="E23" t="s">
        <v>1704</v>
      </c>
      <c r="F23" t="s">
        <v>1703</v>
      </c>
      <c r="G23" t="s">
        <v>1704</v>
      </c>
      <c r="T23" s="12"/>
    </row>
    <row r="24" spans="1:38" x14ac:dyDescent="0.25">
      <c r="T24" s="12"/>
    </row>
    <row r="25" spans="1:38" x14ac:dyDescent="0.25">
      <c r="A25" t="s">
        <v>1767</v>
      </c>
      <c r="T25" s="12"/>
    </row>
    <row r="26" spans="1:38" x14ac:dyDescent="0.25">
      <c r="A26" t="s">
        <v>1768</v>
      </c>
      <c r="T26" s="12"/>
    </row>
    <row r="27" spans="1:38" x14ac:dyDescent="0.25">
      <c r="T27" s="12" t="s">
        <v>1771</v>
      </c>
      <c r="Y27" s="26" t="s">
        <v>1713</v>
      </c>
    </row>
    <row r="28" spans="1:38" x14ac:dyDescent="0.25">
      <c r="U28" t="s">
        <v>189</v>
      </c>
      <c r="V28" t="s">
        <v>751</v>
      </c>
      <c r="Y28" t="s">
        <v>1714</v>
      </c>
      <c r="Z28" t="s">
        <v>1699</v>
      </c>
      <c r="AB28" t="s">
        <v>1744</v>
      </c>
      <c r="AD28" t="s">
        <v>1745</v>
      </c>
      <c r="AG28" s="26" t="s">
        <v>1713</v>
      </c>
    </row>
    <row r="29" spans="1:38" x14ac:dyDescent="0.25">
      <c r="T29" t="s">
        <v>1773</v>
      </c>
      <c r="U29">
        <v>-25619.068359000001</v>
      </c>
      <c r="V29">
        <v>-21497.636718999998</v>
      </c>
      <c r="Y29">
        <v>0.2</v>
      </c>
      <c r="Z29" t="s">
        <v>1756</v>
      </c>
      <c r="AA29" t="s">
        <v>1757</v>
      </c>
      <c r="AB29" t="s">
        <v>1752</v>
      </c>
      <c r="AC29" t="s">
        <v>1754</v>
      </c>
      <c r="AD29" t="s">
        <v>1755</v>
      </c>
      <c r="AE29" t="s">
        <v>1746</v>
      </c>
      <c r="AG29" t="s">
        <v>1714</v>
      </c>
      <c r="AH29" t="s">
        <v>1697</v>
      </c>
    </row>
    <row r="30" spans="1:38" x14ac:dyDescent="0.25">
      <c r="T30" t="s">
        <v>1772</v>
      </c>
      <c r="U30">
        <f>U29/(0.5*0.0014963*634^2*300*30)*2*634/30</f>
        <v>-0.40008440743388551</v>
      </c>
      <c r="V30">
        <f>V29/(0.5*0.0014963*634^2*300*30)*2*634/30</f>
        <v>-0.33572139031076664</v>
      </c>
      <c r="Y30">
        <v>0.3</v>
      </c>
      <c r="Z30" s="30">
        <v>-7.2098400000000007E-2</v>
      </c>
      <c r="AA30" t="s">
        <v>1747</v>
      </c>
      <c r="AB30" t="s">
        <v>1742</v>
      </c>
      <c r="AC30" t="s">
        <v>1753</v>
      </c>
      <c r="AD30" s="31" t="s">
        <v>1743</v>
      </c>
      <c r="AE30" t="s">
        <v>1751</v>
      </c>
      <c r="AG30">
        <v>0.3</v>
      </c>
      <c r="AH30" t="s">
        <v>1721</v>
      </c>
    </row>
    <row r="31" spans="1:38" x14ac:dyDescent="0.25">
      <c r="T31" s="12"/>
      <c r="Y31">
        <v>0.31</v>
      </c>
      <c r="Z31" s="30">
        <v>-8.4111599999999995E-2</v>
      </c>
      <c r="AB31" t="s">
        <v>1740</v>
      </c>
      <c r="AD31" s="31" t="s">
        <v>1741</v>
      </c>
      <c r="AG31">
        <v>0.32</v>
      </c>
      <c r="AH31" t="s">
        <v>1722</v>
      </c>
    </row>
    <row r="32" spans="1:38" x14ac:dyDescent="0.25">
      <c r="T32" s="12"/>
      <c r="Y32">
        <v>0.32</v>
      </c>
      <c r="Z32" s="30">
        <v>-0.100359</v>
      </c>
      <c r="AB32" t="s">
        <v>1738</v>
      </c>
      <c r="AD32" s="31" t="s">
        <v>1739</v>
      </c>
      <c r="AG32">
        <v>0.34</v>
      </c>
      <c r="AH32" t="s">
        <v>1723</v>
      </c>
    </row>
    <row r="33" spans="20:35" x14ac:dyDescent="0.25">
      <c r="T33" s="12"/>
      <c r="Y33" s="16">
        <v>0.33</v>
      </c>
      <c r="Z33" s="30">
        <v>-0.12343999999999999</v>
      </c>
      <c r="AA33" t="s">
        <v>1750</v>
      </c>
      <c r="AB33" t="s">
        <v>1736</v>
      </c>
      <c r="AC33" t="s">
        <v>1746</v>
      </c>
      <c r="AD33" s="31" t="s">
        <v>1737</v>
      </c>
      <c r="AE33" t="s">
        <v>1748</v>
      </c>
      <c r="AG33">
        <v>0.36</v>
      </c>
      <c r="AH33" s="16" t="s">
        <v>1724</v>
      </c>
      <c r="AI33" s="16"/>
    </row>
    <row r="34" spans="20:35" x14ac:dyDescent="0.25">
      <c r="Y34" s="16">
        <v>0.34</v>
      </c>
      <c r="Z34" s="31">
        <v>0.15257999999999999</v>
      </c>
      <c r="AA34" t="s">
        <v>1748</v>
      </c>
      <c r="AB34" t="s">
        <v>1734</v>
      </c>
      <c r="AC34" t="s">
        <v>1746</v>
      </c>
      <c r="AD34" s="30" t="s">
        <v>1735</v>
      </c>
      <c r="AE34" t="s">
        <v>1749</v>
      </c>
      <c r="AG34">
        <v>0.38</v>
      </c>
      <c r="AH34" t="s">
        <v>1725</v>
      </c>
    </row>
    <row r="35" spans="20:35" x14ac:dyDescent="0.25">
      <c r="T35" s="12"/>
      <c r="Y35">
        <v>0.35</v>
      </c>
      <c r="Z35" s="31">
        <v>0.13098199999999999</v>
      </c>
      <c r="AB35" t="s">
        <v>1732</v>
      </c>
      <c r="AD35" s="30" t="s">
        <v>1733</v>
      </c>
      <c r="AG35">
        <v>0.4</v>
      </c>
      <c r="AH35" t="s">
        <v>1717</v>
      </c>
    </row>
    <row r="36" spans="20:35" x14ac:dyDescent="0.25">
      <c r="T36" s="12"/>
      <c r="Y36">
        <v>0.36</v>
      </c>
      <c r="Z36" s="31">
        <v>0.113082</v>
      </c>
      <c r="AB36" t="s">
        <v>1730</v>
      </c>
      <c r="AD36" s="30" t="s">
        <v>1731</v>
      </c>
    </row>
    <row r="37" spans="20:35" x14ac:dyDescent="0.25">
      <c r="T37" s="12"/>
      <c r="Y37">
        <v>0.37</v>
      </c>
      <c r="Z37" s="31">
        <v>9.8368200000000003E-2</v>
      </c>
      <c r="AB37" t="s">
        <v>1728</v>
      </c>
      <c r="AD37" s="30" t="s">
        <v>1729</v>
      </c>
    </row>
    <row r="38" spans="20:35" x14ac:dyDescent="0.25">
      <c r="T38" s="12"/>
      <c r="Y38">
        <v>0.38</v>
      </c>
      <c r="Z38" s="31">
        <v>8.6286399999999999E-2</v>
      </c>
      <c r="AA38" t="s">
        <v>1748</v>
      </c>
      <c r="AB38" t="s">
        <v>1726</v>
      </c>
      <c r="AC38" t="s">
        <v>1759</v>
      </c>
      <c r="AD38" s="30" t="s">
        <v>1727</v>
      </c>
      <c r="AE38" t="s">
        <v>1758</v>
      </c>
    </row>
    <row r="39" spans="20:35" x14ac:dyDescent="0.25">
      <c r="T39" s="12"/>
      <c r="Y39">
        <v>0.4</v>
      </c>
      <c r="Z39" t="s">
        <v>1761</v>
      </c>
      <c r="AA39" t="s">
        <v>1762</v>
      </c>
      <c r="AB39">
        <v>-0.72582999999999998</v>
      </c>
      <c r="AC39" t="s">
        <v>1760</v>
      </c>
      <c r="AD39">
        <v>-0.72582999999999998</v>
      </c>
      <c r="AE39" t="s">
        <v>1760</v>
      </c>
    </row>
    <row r="40" spans="20:35" x14ac:dyDescent="0.25">
      <c r="T40" s="12"/>
      <c r="Y40">
        <v>0.6</v>
      </c>
      <c r="Z40" t="s">
        <v>1765</v>
      </c>
      <c r="AA40" t="s">
        <v>1766</v>
      </c>
      <c r="AB40" t="s">
        <v>1763</v>
      </c>
      <c r="AC40" t="s">
        <v>1764</v>
      </c>
      <c r="AD40" t="s">
        <v>1763</v>
      </c>
      <c r="AE40" t="s">
        <v>1764</v>
      </c>
    </row>
    <row r="41" spans="20:35" x14ac:dyDescent="0.25">
      <c r="T41" s="12"/>
    </row>
    <row r="42" spans="20:35" x14ac:dyDescent="0.25">
      <c r="T42" s="12"/>
    </row>
    <row r="43" spans="20:35" x14ac:dyDescent="0.25">
      <c r="T43" s="12"/>
    </row>
    <row r="44" spans="20:35" x14ac:dyDescent="0.25">
      <c r="T44" s="12"/>
    </row>
    <row r="45" spans="20:35" x14ac:dyDescent="0.25">
      <c r="T45" s="12"/>
    </row>
    <row r="46" spans="20:35" x14ac:dyDescent="0.25">
      <c r="T46" s="12"/>
    </row>
    <row r="47" spans="20:35" x14ac:dyDescent="0.25">
      <c r="T47" s="12"/>
    </row>
    <row r="48" spans="20:35" x14ac:dyDescent="0.25">
      <c r="T48" s="12"/>
    </row>
    <row r="49" spans="1:20" x14ac:dyDescent="0.25">
      <c r="T49" s="12"/>
    </row>
    <row r="50" spans="1:20" x14ac:dyDescent="0.25">
      <c r="T50" s="12"/>
    </row>
    <row r="51" spans="1:20" x14ac:dyDescent="0.25">
      <c r="T51" s="12"/>
    </row>
    <row r="52" spans="1:20" x14ac:dyDescent="0.25">
      <c r="T52" s="12"/>
    </row>
    <row r="53" spans="1:20" x14ac:dyDescent="0.25">
      <c r="T53" s="12"/>
    </row>
    <row r="54" spans="1:20" x14ac:dyDescent="0.25">
      <c r="A54" t="s">
        <v>1686</v>
      </c>
      <c r="T54" s="12"/>
    </row>
    <row r="55" spans="1:20" x14ac:dyDescent="0.25">
      <c r="T55" s="12"/>
    </row>
    <row r="56" spans="1:20" x14ac:dyDescent="0.25">
      <c r="T56" s="12"/>
    </row>
    <row r="57" spans="1:20" x14ac:dyDescent="0.25">
      <c r="T57" s="12"/>
    </row>
    <row r="58" spans="1:20" x14ac:dyDescent="0.25">
      <c r="T58" s="12"/>
    </row>
    <row r="59" spans="1:20" x14ac:dyDescent="0.25">
      <c r="T59" s="12"/>
    </row>
    <row r="60" spans="1:20" x14ac:dyDescent="0.25">
      <c r="T60" s="12"/>
    </row>
    <row r="61" spans="1:20" x14ac:dyDescent="0.25">
      <c r="T61" s="12"/>
    </row>
    <row r="62" spans="1:20" x14ac:dyDescent="0.25">
      <c r="T62" s="12"/>
    </row>
    <row r="63" spans="1:20" x14ac:dyDescent="0.25">
      <c r="T63" s="12"/>
    </row>
    <row r="83" spans="1:1" x14ac:dyDescent="0.25">
      <c r="A83" t="s">
        <v>1687</v>
      </c>
    </row>
    <row r="113" spans="1:1" x14ac:dyDescent="0.25">
      <c r="A113" t="s">
        <v>1769</v>
      </c>
    </row>
    <row r="144" spans="1:1" x14ac:dyDescent="0.25">
      <c r="A144" t="s">
        <v>1770</v>
      </c>
    </row>
    <row r="145" spans="1:1" x14ac:dyDescent="0.25">
      <c r="A145" t="s">
        <v>1687</v>
      </c>
    </row>
  </sheetData>
  <mergeCells count="38">
    <mergeCell ref="Z5:AA5"/>
    <mergeCell ref="AD9:AE9"/>
    <mergeCell ref="AF3:AG3"/>
    <mergeCell ref="L19:M19"/>
    <mergeCell ref="L14:M14"/>
    <mergeCell ref="N14:O14"/>
    <mergeCell ref="P14:Q14"/>
    <mergeCell ref="T14:U14"/>
    <mergeCell ref="AB14:AC14"/>
    <mergeCell ref="AD14:AE14"/>
    <mergeCell ref="AF14:AG14"/>
    <mergeCell ref="Z16:AA16"/>
    <mergeCell ref="A13:A22"/>
    <mergeCell ref="D13:P13"/>
    <mergeCell ref="T13:AH13"/>
    <mergeCell ref="D14:E14"/>
    <mergeCell ref="F14:G14"/>
    <mergeCell ref="H14:I14"/>
    <mergeCell ref="J14:K14"/>
    <mergeCell ref="V14:W14"/>
    <mergeCell ref="X14:Y14"/>
    <mergeCell ref="AH14:AI14"/>
    <mergeCell ref="A2:A11"/>
    <mergeCell ref="D2:P2"/>
    <mergeCell ref="T2:AH2"/>
    <mergeCell ref="D3:E3"/>
    <mergeCell ref="F3:G3"/>
    <mergeCell ref="H3:I3"/>
    <mergeCell ref="J3:K3"/>
    <mergeCell ref="L3:M3"/>
    <mergeCell ref="N3:O3"/>
    <mergeCell ref="P3:Q3"/>
    <mergeCell ref="T3:U3"/>
    <mergeCell ref="V3:W3"/>
    <mergeCell ref="X3:Y3"/>
    <mergeCell ref="AB3:AC3"/>
    <mergeCell ref="AD3:AE3"/>
    <mergeCell ref="AH3:AI3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5D3C-B898-4739-9D60-807E3688CDC9}">
  <dimension ref="A1:AK145"/>
  <sheetViews>
    <sheetView tabSelected="1" topLeftCell="A22" zoomScale="110" zoomScaleNormal="110" workbookViewId="0">
      <selection activeCell="AH4" sqref="AH4"/>
    </sheetView>
  </sheetViews>
  <sheetFormatPr defaultColWidth="9.5703125" defaultRowHeight="15" x14ac:dyDescent="0.25"/>
  <cols>
    <col min="2" max="2" width="13.5703125" customWidth="1"/>
    <col min="3" max="3" width="11.5703125" bestFit="1" customWidth="1"/>
    <col min="18" max="18" width="11.28515625" bestFit="1" customWidth="1"/>
    <col min="19" max="19" width="11.5703125" bestFit="1" customWidth="1"/>
    <col min="20" max="20" width="20.28515625" bestFit="1" customWidth="1"/>
    <col min="26" max="26" width="11.7109375" customWidth="1"/>
    <col min="27" max="27" width="17.5703125" customWidth="1"/>
    <col min="29" max="29" width="16" bestFit="1" customWidth="1"/>
    <col min="31" max="31" width="16.42578125" bestFit="1" customWidth="1"/>
  </cols>
  <sheetData>
    <row r="1" spans="1:37" x14ac:dyDescent="0.25">
      <c r="A1" t="s">
        <v>191</v>
      </c>
      <c r="T1" s="12"/>
    </row>
    <row r="2" spans="1:37" x14ac:dyDescent="0.25">
      <c r="A2" s="40">
        <v>0</v>
      </c>
      <c r="B2" s="18"/>
      <c r="C2" t="s">
        <v>190</v>
      </c>
      <c r="D2" s="42" t="s">
        <v>751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13"/>
      <c r="R2" s="18"/>
      <c r="S2" t="s">
        <v>190</v>
      </c>
      <c r="T2" s="43" t="s">
        <v>189</v>
      </c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13"/>
    </row>
    <row r="3" spans="1:37" ht="15.75" thickBot="1" x14ac:dyDescent="0.3">
      <c r="A3" s="40"/>
      <c r="B3" s="18"/>
      <c r="C3" t="s">
        <v>1702</v>
      </c>
      <c r="D3" s="41">
        <v>1</v>
      </c>
      <c r="E3" s="41"/>
      <c r="F3" s="41">
        <v>0.8</v>
      </c>
      <c r="G3" s="41"/>
      <c r="H3" s="41">
        <v>0.6</v>
      </c>
      <c r="I3" s="41"/>
      <c r="J3" s="41">
        <v>0.4</v>
      </c>
      <c r="K3" s="41"/>
      <c r="L3" s="41">
        <v>0.40639999999999998</v>
      </c>
      <c r="M3" s="41"/>
      <c r="N3" s="41">
        <v>0.2</v>
      </c>
      <c r="O3" s="41"/>
      <c r="P3" s="41">
        <v>0</v>
      </c>
      <c r="Q3" s="41"/>
      <c r="R3" s="18"/>
      <c r="S3" t="s">
        <v>1702</v>
      </c>
      <c r="T3" s="45">
        <v>1</v>
      </c>
      <c r="U3" s="41"/>
      <c r="V3" s="41">
        <v>0.8</v>
      </c>
      <c r="W3" s="41"/>
      <c r="X3" s="41">
        <v>0.6</v>
      </c>
      <c r="Y3" s="41"/>
      <c r="Z3" s="17"/>
      <c r="AA3" s="17"/>
      <c r="AB3" s="41">
        <v>0.4</v>
      </c>
      <c r="AC3" s="41"/>
      <c r="AD3" s="41">
        <v>0.35</v>
      </c>
      <c r="AE3" s="41"/>
      <c r="AF3" s="41">
        <v>0.2</v>
      </c>
      <c r="AG3" s="41"/>
      <c r="AH3" s="41">
        <v>0</v>
      </c>
      <c r="AI3" s="44"/>
    </row>
    <row r="4" spans="1:37" x14ac:dyDescent="0.25">
      <c r="A4" s="40"/>
      <c r="B4" s="19" t="s">
        <v>1706</v>
      </c>
      <c r="C4" s="24" t="s">
        <v>1696</v>
      </c>
      <c r="D4" s="15">
        <v>-0.808064</v>
      </c>
      <c r="E4" s="15">
        <v>1.90211</v>
      </c>
      <c r="F4" s="37">
        <v>-0.80391299999999999</v>
      </c>
      <c r="G4" s="37">
        <v>1.54908</v>
      </c>
      <c r="H4">
        <v>-0.79970200000000002</v>
      </c>
      <c r="I4">
        <v>1.0870500000000001</v>
      </c>
      <c r="J4">
        <v>-0.99066500000000002</v>
      </c>
      <c r="K4">
        <v>0</v>
      </c>
      <c r="L4" s="16">
        <v>-0.79200000000000004</v>
      </c>
      <c r="M4" s="16">
        <v>0</v>
      </c>
      <c r="N4">
        <v>-1.91181</v>
      </c>
      <c r="O4">
        <v>0</v>
      </c>
      <c r="P4">
        <v>-2.35995</v>
      </c>
      <c r="Q4">
        <v>0</v>
      </c>
      <c r="R4" s="19" t="s">
        <v>1706</v>
      </c>
      <c r="S4" s="24" t="s">
        <v>1696</v>
      </c>
      <c r="T4" s="12">
        <v>-0.79595000000000005</v>
      </c>
      <c r="U4">
        <v>3.1145200000000002</v>
      </c>
      <c r="V4">
        <v>-0.79164199999999996</v>
      </c>
      <c r="W4">
        <v>2.91751</v>
      </c>
      <c r="X4">
        <v>-0.78734599999999999</v>
      </c>
      <c r="Y4">
        <v>2.7062300000000001</v>
      </c>
      <c r="AB4">
        <v>-0.78306200000000004</v>
      </c>
      <c r="AC4">
        <v>2.47702</v>
      </c>
      <c r="AD4" s="16"/>
      <c r="AE4" s="16"/>
      <c r="AF4">
        <v>-0.77879699999999996</v>
      </c>
      <c r="AG4">
        <v>2.22437</v>
      </c>
      <c r="AH4">
        <v>-0.77455700000000005</v>
      </c>
      <c r="AI4">
        <v>1.93912</v>
      </c>
    </row>
    <row r="5" spans="1:37" x14ac:dyDescent="0.25">
      <c r="A5" s="40"/>
      <c r="B5" s="20"/>
      <c r="C5" s="21"/>
      <c r="D5" s="15">
        <v>-0.808064</v>
      </c>
      <c r="E5" s="15">
        <v>-1.90211</v>
      </c>
      <c r="F5" s="37">
        <v>-0.80391299999999999</v>
      </c>
      <c r="G5" s="37">
        <v>-1.54908</v>
      </c>
      <c r="H5">
        <v>-0.79970200000000002</v>
      </c>
      <c r="I5">
        <v>-1.0870500000000001</v>
      </c>
      <c r="J5">
        <v>-0.591692</v>
      </c>
      <c r="K5">
        <v>0</v>
      </c>
      <c r="L5" s="16"/>
      <c r="M5" s="16"/>
      <c r="N5">
        <v>0.35011700000000001</v>
      </c>
      <c r="O5">
        <v>0</v>
      </c>
      <c r="P5">
        <v>0.79173700000000002</v>
      </c>
      <c r="Q5">
        <v>0</v>
      </c>
      <c r="R5" s="20"/>
      <c r="S5" s="21"/>
      <c r="T5" s="12">
        <v>-0.79595000000000005</v>
      </c>
      <c r="U5">
        <v>-3.1145200000000002</v>
      </c>
      <c r="V5">
        <v>-0.79164199999999996</v>
      </c>
      <c r="W5">
        <v>-2.91751</v>
      </c>
      <c r="X5">
        <v>-0.78734599999999999</v>
      </c>
      <c r="Y5">
        <v>-2.7062300000000001</v>
      </c>
      <c r="Z5" s="41"/>
      <c r="AA5" s="41"/>
      <c r="AB5">
        <v>-0.78306200000000004</v>
      </c>
      <c r="AC5">
        <v>-2.47702</v>
      </c>
      <c r="AD5" s="16"/>
      <c r="AE5" s="16"/>
      <c r="AF5">
        <v>-0.77879699999999996</v>
      </c>
      <c r="AG5">
        <v>-2.22437</v>
      </c>
      <c r="AH5">
        <v>-0.77455700000000005</v>
      </c>
      <c r="AI5">
        <v>-1.93912</v>
      </c>
    </row>
    <row r="6" spans="1:37" x14ac:dyDescent="0.25">
      <c r="A6" s="40"/>
      <c r="B6" s="20" t="s">
        <v>1707</v>
      </c>
      <c r="C6" s="21" t="s">
        <v>1697</v>
      </c>
      <c r="D6" s="15">
        <v>-1.72298E-3</v>
      </c>
      <c r="E6" s="15">
        <v>7.3314199999999996E-2</v>
      </c>
      <c r="F6" s="37">
        <v>-1.67621E-3</v>
      </c>
      <c r="G6" s="37">
        <v>7.0953500000000003E-2</v>
      </c>
      <c r="H6">
        <v>-1.69586E-3</v>
      </c>
      <c r="I6">
        <v>6.5058400000000002E-2</v>
      </c>
      <c r="J6">
        <v>-6.03624E-3</v>
      </c>
      <c r="K6">
        <v>1.00953E-2</v>
      </c>
      <c r="L6" s="16"/>
      <c r="M6" s="16"/>
      <c r="N6">
        <v>-1.21902E-2</v>
      </c>
      <c r="O6">
        <v>0.105535</v>
      </c>
      <c r="P6">
        <v>-4.7643E-3</v>
      </c>
      <c r="Q6">
        <v>9.0049199999999996E-2</v>
      </c>
      <c r="R6" s="20" t="s">
        <v>1707</v>
      </c>
      <c r="S6" s="21" t="s">
        <v>1697</v>
      </c>
      <c r="T6" s="12">
        <v>-1.52001E-3</v>
      </c>
      <c r="U6">
        <v>7.6681200000000005E-2</v>
      </c>
      <c r="V6">
        <v>-1.4997400000000001E-3</v>
      </c>
      <c r="W6">
        <v>7.6405500000000001E-2</v>
      </c>
      <c r="X6">
        <v>-1.47904E-3</v>
      </c>
      <c r="Y6">
        <v>7.6040999999999997E-2</v>
      </c>
      <c r="Z6" s="29"/>
      <c r="AA6" s="16"/>
      <c r="AB6">
        <v>-1.45498E-3</v>
      </c>
      <c r="AC6">
        <v>7.5539599999999998E-2</v>
      </c>
      <c r="AF6">
        <v>-1.42296E-3</v>
      </c>
      <c r="AG6">
        <v>7.4810699999999994E-2</v>
      </c>
      <c r="AH6">
        <v>-1.3759E-3</v>
      </c>
      <c r="AI6">
        <v>7.3660400000000001E-2</v>
      </c>
    </row>
    <row r="7" spans="1:37" x14ac:dyDescent="0.25">
      <c r="A7" s="40"/>
      <c r="B7" s="20"/>
      <c r="C7" s="21"/>
      <c r="D7" s="15">
        <v>-1.72298E-3</v>
      </c>
      <c r="E7" s="15">
        <v>-7.3314199999999996E-2</v>
      </c>
      <c r="F7" s="37">
        <v>-1.67621E-3</v>
      </c>
      <c r="G7" s="37">
        <v>-7.0953500000000003E-2</v>
      </c>
      <c r="H7">
        <v>-1.69586E-3</v>
      </c>
      <c r="I7">
        <v>-6.5058400000000002E-2</v>
      </c>
      <c r="J7">
        <v>-6.03624E-3</v>
      </c>
      <c r="K7">
        <v>-1.00953E-2</v>
      </c>
      <c r="L7" s="16"/>
      <c r="M7" s="16"/>
      <c r="N7">
        <v>-1.21902E-2</v>
      </c>
      <c r="O7">
        <v>-0.105535</v>
      </c>
      <c r="P7">
        <v>-4.7643E-3</v>
      </c>
      <c r="Q7">
        <v>-9.0049199999999996E-2</v>
      </c>
      <c r="R7" s="20"/>
      <c r="S7" s="21"/>
      <c r="T7" s="12">
        <v>-1.52001E-3</v>
      </c>
      <c r="U7">
        <v>-7.6681200000000005E-2</v>
      </c>
      <c r="V7">
        <v>-1.4997400000000001E-3</v>
      </c>
      <c r="W7">
        <v>-7.6405500000000001E-2</v>
      </c>
      <c r="X7">
        <v>-1.47904E-3</v>
      </c>
      <c r="Y7">
        <v>-7.6040999999999997E-2</v>
      </c>
      <c r="Z7" s="29"/>
      <c r="AA7" s="16"/>
      <c r="AB7">
        <v>-1.45498E-3</v>
      </c>
      <c r="AC7">
        <v>-7.5539599999999998E-2</v>
      </c>
      <c r="AF7">
        <v>-1.42296E-3</v>
      </c>
      <c r="AG7">
        <v>-7.4810699999999994E-2</v>
      </c>
      <c r="AH7">
        <v>-1.3759E-3</v>
      </c>
      <c r="AI7">
        <v>-7.3660400000000001E-2</v>
      </c>
    </row>
    <row r="8" spans="1:37" x14ac:dyDescent="0.25">
      <c r="A8" s="40"/>
      <c r="B8" s="20" t="s">
        <v>1710</v>
      </c>
      <c r="C8" s="21" t="s">
        <v>1698</v>
      </c>
      <c r="D8" s="32">
        <v>-2.40951</v>
      </c>
      <c r="E8" s="32">
        <v>0</v>
      </c>
      <c r="F8" s="38">
        <v>-2.4109699999999998</v>
      </c>
      <c r="G8" s="38">
        <v>0</v>
      </c>
      <c r="H8" s="33">
        <v>-2.4124699999999999</v>
      </c>
      <c r="I8" s="33">
        <v>0</v>
      </c>
      <c r="J8" s="33">
        <v>-2.4140199999999998</v>
      </c>
      <c r="K8" s="33">
        <v>0</v>
      </c>
      <c r="L8" s="33"/>
      <c r="M8" s="33"/>
      <c r="N8" s="33">
        <v>-2.4156200000000001</v>
      </c>
      <c r="O8" s="33">
        <v>0</v>
      </c>
      <c r="P8" s="33">
        <v>-2.4172799999999999</v>
      </c>
      <c r="Q8" s="33">
        <v>0</v>
      </c>
      <c r="R8" s="34" t="s">
        <v>1710</v>
      </c>
      <c r="S8" s="35" t="s">
        <v>1698</v>
      </c>
      <c r="T8" s="36">
        <v>-2.4510999999999998</v>
      </c>
      <c r="U8" s="33">
        <v>0</v>
      </c>
      <c r="V8" s="33">
        <v>-2.45207</v>
      </c>
      <c r="W8" s="33">
        <v>0</v>
      </c>
      <c r="X8" s="33">
        <v>-2.4530500000000002</v>
      </c>
      <c r="Y8" s="33">
        <v>0</v>
      </c>
      <c r="Z8" s="33"/>
      <c r="AA8" s="33"/>
      <c r="AB8" s="33">
        <v>-2.4540500000000001</v>
      </c>
      <c r="AC8" s="33">
        <v>0</v>
      </c>
      <c r="AD8" s="33"/>
      <c r="AE8" s="33"/>
      <c r="AF8" s="33">
        <v>-2.45506</v>
      </c>
      <c r="AG8" s="33">
        <v>0</v>
      </c>
      <c r="AH8" s="33">
        <v>-2.4560900000000001</v>
      </c>
      <c r="AI8" s="33">
        <v>0</v>
      </c>
    </row>
    <row r="9" spans="1:37" x14ac:dyDescent="0.25">
      <c r="A9" s="40"/>
      <c r="B9" s="20" t="s">
        <v>1709</v>
      </c>
      <c r="C9" s="21" t="s">
        <v>1699</v>
      </c>
      <c r="D9" s="15">
        <v>7.4044899999999997E-3</v>
      </c>
      <c r="E9" s="15">
        <v>0</v>
      </c>
      <c r="F9" s="37">
        <v>7.1689800000000001E-3</v>
      </c>
      <c r="G9" s="37">
        <v>0</v>
      </c>
      <c r="H9">
        <v>6.9305800000000004E-3</v>
      </c>
      <c r="I9">
        <v>0</v>
      </c>
      <c r="J9">
        <v>6.6888599999999996E-3</v>
      </c>
      <c r="K9">
        <v>0</v>
      </c>
      <c r="N9">
        <v>6.4442299999999996E-3</v>
      </c>
      <c r="O9">
        <v>0</v>
      </c>
      <c r="P9">
        <v>6.1957699999999997E-3</v>
      </c>
      <c r="Q9">
        <v>0</v>
      </c>
      <c r="R9" s="20" t="s">
        <v>1709</v>
      </c>
      <c r="S9" s="21" t="s">
        <v>1699</v>
      </c>
      <c r="T9">
        <v>1.2411800000000001E-2</v>
      </c>
      <c r="U9">
        <v>0</v>
      </c>
      <c r="V9">
        <v>1.21642E-2</v>
      </c>
      <c r="W9">
        <v>0</v>
      </c>
      <c r="X9">
        <v>1.1923100000000001E-2</v>
      </c>
      <c r="Y9">
        <v>0</v>
      </c>
      <c r="AB9">
        <v>1.1687599999999999E-2</v>
      </c>
      <c r="AC9">
        <v>0</v>
      </c>
      <c r="AD9" s="41"/>
      <c r="AE9" s="41"/>
      <c r="AF9">
        <v>1.14568E-2</v>
      </c>
      <c r="AG9">
        <v>0</v>
      </c>
      <c r="AH9">
        <v>1.1230199999999999E-2</v>
      </c>
      <c r="AI9">
        <v>0</v>
      </c>
    </row>
    <row r="10" spans="1:37" ht="15.75" thickBot="1" x14ac:dyDescent="0.3">
      <c r="A10" s="40"/>
      <c r="B10" s="22" t="s">
        <v>1708</v>
      </c>
      <c r="C10" s="23" t="s">
        <v>1700</v>
      </c>
      <c r="D10" s="15">
        <v>-0.141731</v>
      </c>
      <c r="E10" s="15">
        <v>3.5347400000000002</v>
      </c>
      <c r="F10" s="37">
        <v>-0.139714</v>
      </c>
      <c r="G10" s="37">
        <v>3.4945400000000002</v>
      </c>
      <c r="H10">
        <v>-0.13766999999999999</v>
      </c>
      <c r="I10">
        <v>3.4539200000000001</v>
      </c>
      <c r="J10">
        <v>-0.135597</v>
      </c>
      <c r="K10">
        <v>3.4128500000000002</v>
      </c>
      <c r="N10">
        <v>-0.133494</v>
      </c>
      <c r="O10">
        <v>3.3713099999999998</v>
      </c>
      <c r="P10">
        <v>-0.131359</v>
      </c>
      <c r="Q10">
        <v>3.3292799999999998</v>
      </c>
      <c r="R10" s="22" t="s">
        <v>1708</v>
      </c>
      <c r="S10" s="23" t="s">
        <v>1700</v>
      </c>
      <c r="T10" s="12">
        <v>-0.98737299999999995</v>
      </c>
      <c r="U10">
        <v>0</v>
      </c>
      <c r="V10">
        <v>-1.01579</v>
      </c>
      <c r="W10">
        <v>0</v>
      </c>
      <c r="X10">
        <v>-1.0432900000000001</v>
      </c>
      <c r="Y10">
        <v>0</v>
      </c>
      <c r="AB10">
        <v>-1.06996</v>
      </c>
      <c r="AC10">
        <v>0</v>
      </c>
      <c r="AD10" s="16"/>
      <c r="AE10" s="16"/>
      <c r="AF10" s="25">
        <v>-1.0958699999999999</v>
      </c>
      <c r="AG10">
        <v>0</v>
      </c>
      <c r="AH10">
        <v>-1.1210599999999999</v>
      </c>
      <c r="AI10">
        <v>0</v>
      </c>
    </row>
    <row r="11" spans="1:37" x14ac:dyDescent="0.25">
      <c r="A11" s="40"/>
      <c r="B11" s="18"/>
      <c r="D11" s="15">
        <v>-0.141731</v>
      </c>
      <c r="E11" s="15">
        <v>-3.5347400000000002</v>
      </c>
      <c r="F11" s="37">
        <v>-0.139714</v>
      </c>
      <c r="G11" s="37">
        <v>-3.4945400000000002</v>
      </c>
      <c r="H11">
        <v>-0.13766999999999999</v>
      </c>
      <c r="I11">
        <v>-3.4539200000000001</v>
      </c>
      <c r="J11">
        <v>-0.135597</v>
      </c>
      <c r="K11">
        <v>-3.4128500000000002</v>
      </c>
      <c r="N11">
        <v>-0.133494</v>
      </c>
      <c r="O11">
        <v>-3.3713099999999998</v>
      </c>
      <c r="P11">
        <v>-0.131359</v>
      </c>
      <c r="Q11">
        <v>-3.3292799999999998</v>
      </c>
      <c r="R11" s="18"/>
      <c r="T11" s="12">
        <v>1.0744899999999999</v>
      </c>
      <c r="U11">
        <v>0</v>
      </c>
      <c r="V11">
        <v>1.10337</v>
      </c>
      <c r="W11">
        <v>0</v>
      </c>
      <c r="X11">
        <v>1.13134</v>
      </c>
      <c r="Y11">
        <v>0</v>
      </c>
      <c r="AB11">
        <v>1.1585000000000001</v>
      </c>
      <c r="AC11">
        <v>0</v>
      </c>
      <c r="AD11" s="16"/>
      <c r="AE11" s="16"/>
      <c r="AF11" s="25">
        <v>1.1849000000000001</v>
      </c>
      <c r="AG11">
        <v>0</v>
      </c>
      <c r="AH11">
        <v>1.21062</v>
      </c>
      <c r="AI11">
        <v>0</v>
      </c>
    </row>
    <row r="12" spans="1:37" x14ac:dyDescent="0.25">
      <c r="A12" t="s">
        <v>191</v>
      </c>
      <c r="D12" t="s">
        <v>1703</v>
      </c>
      <c r="E12" t="s">
        <v>1704</v>
      </c>
      <c r="F12" t="s">
        <v>1703</v>
      </c>
      <c r="G12" t="s">
        <v>1704</v>
      </c>
      <c r="J12" t="s">
        <v>1703</v>
      </c>
      <c r="K12" t="s">
        <v>1704</v>
      </c>
      <c r="N12" t="s">
        <v>1703</v>
      </c>
      <c r="O12" t="s">
        <v>1704</v>
      </c>
      <c r="P12" t="s">
        <v>1703</v>
      </c>
      <c r="Q12" t="s">
        <v>1704</v>
      </c>
      <c r="T12" s="12" t="s">
        <v>1703</v>
      </c>
      <c r="U12" t="s">
        <v>1704</v>
      </c>
      <c r="V12" t="s">
        <v>1703</v>
      </c>
      <c r="W12" t="s">
        <v>1704</v>
      </c>
      <c r="X12" t="s">
        <v>1703</v>
      </c>
      <c r="Y12" t="s">
        <v>1704</v>
      </c>
      <c r="AF12" t="s">
        <v>1703</v>
      </c>
      <c r="AG12" t="s">
        <v>1704</v>
      </c>
      <c r="AH12" t="s">
        <v>1703</v>
      </c>
      <c r="AI12" t="s">
        <v>1704</v>
      </c>
    </row>
    <row r="13" spans="1:37" x14ac:dyDescent="0.25">
      <c r="A13" s="40">
        <v>60</v>
      </c>
      <c r="B13" s="18"/>
      <c r="C13" t="s">
        <v>190</v>
      </c>
      <c r="D13" s="42" t="s">
        <v>751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13"/>
      <c r="R13" s="18"/>
      <c r="S13" t="s">
        <v>190</v>
      </c>
      <c r="T13" s="43" t="s">
        <v>189</v>
      </c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13"/>
    </row>
    <row r="14" spans="1:37" ht="15.75" thickBot="1" x14ac:dyDescent="0.3">
      <c r="A14" s="40"/>
      <c r="B14" s="18"/>
      <c r="C14" t="s">
        <v>1702</v>
      </c>
      <c r="D14" s="41">
        <v>1</v>
      </c>
      <c r="E14" s="41"/>
      <c r="F14" s="41">
        <v>0.8</v>
      </c>
      <c r="G14" s="41"/>
      <c r="H14" s="41">
        <v>0.6</v>
      </c>
      <c r="I14" s="41"/>
      <c r="J14" s="41">
        <v>0.4</v>
      </c>
      <c r="K14" s="41"/>
      <c r="L14" s="47">
        <v>0.42499999999999999</v>
      </c>
      <c r="M14" s="47"/>
      <c r="N14" s="41">
        <v>0.2</v>
      </c>
      <c r="O14" s="41"/>
      <c r="P14" s="41">
        <v>0</v>
      </c>
      <c r="Q14" s="41"/>
      <c r="R14" s="18"/>
      <c r="S14" t="s">
        <v>1702</v>
      </c>
      <c r="T14" s="45">
        <v>1</v>
      </c>
      <c r="U14" s="41"/>
      <c r="V14" s="41">
        <v>0.8</v>
      </c>
      <c r="W14" s="41"/>
      <c r="X14" s="41">
        <v>0.6</v>
      </c>
      <c r="Y14" s="41"/>
      <c r="Z14" s="17"/>
      <c r="AA14" s="17"/>
      <c r="AB14" s="41">
        <v>0.4</v>
      </c>
      <c r="AC14" s="41"/>
      <c r="AD14" s="41" t="s">
        <v>1712</v>
      </c>
      <c r="AE14" s="41"/>
      <c r="AF14" s="41">
        <v>0.2</v>
      </c>
      <c r="AG14" s="41"/>
      <c r="AH14" s="41">
        <v>0</v>
      </c>
      <c r="AI14" s="44"/>
      <c r="AK14" t="s">
        <v>1705</v>
      </c>
    </row>
    <row r="15" spans="1:37" x14ac:dyDescent="0.25">
      <c r="A15" s="40"/>
      <c r="B15" s="19" t="s">
        <v>1711</v>
      </c>
      <c r="C15" s="24" t="s">
        <v>1696</v>
      </c>
      <c r="D15">
        <v>-0.78597499999999998</v>
      </c>
      <c r="E15">
        <v>1.8315300000000001</v>
      </c>
      <c r="F15">
        <v>-0.78224899999999997</v>
      </c>
      <c r="G15">
        <v>1.47912</v>
      </c>
      <c r="H15">
        <v>-0.778528</v>
      </c>
      <c r="I15">
        <v>1.0105599999999999</v>
      </c>
      <c r="J15">
        <v>-1.1563399999999999</v>
      </c>
      <c r="K15">
        <v>0</v>
      </c>
      <c r="L15" s="16">
        <v>-0.77500000000000002</v>
      </c>
      <c r="M15" s="16">
        <v>0</v>
      </c>
      <c r="N15">
        <v>-1.9170100000000001</v>
      </c>
      <c r="O15">
        <v>0</v>
      </c>
      <c r="P15">
        <v>-2.3458399999999999</v>
      </c>
      <c r="Q15">
        <v>0</v>
      </c>
      <c r="R15" s="19" t="s">
        <v>1711</v>
      </c>
      <c r="S15" s="24" t="s">
        <v>1696</v>
      </c>
      <c r="T15" s="12">
        <v>-0.774204</v>
      </c>
      <c r="U15">
        <v>3.0686399999999998</v>
      </c>
      <c r="V15" s="25">
        <v>-0.77032999999999996</v>
      </c>
      <c r="W15">
        <v>2.8782800000000002</v>
      </c>
      <c r="X15">
        <v>-0.76647699999999996</v>
      </c>
      <c r="Y15">
        <v>2.6745399999999999</v>
      </c>
      <c r="AB15">
        <v>-0.76264699999999996</v>
      </c>
      <c r="AC15">
        <v>2.4540899999999999</v>
      </c>
      <c r="AD15" s="16"/>
      <c r="AE15" s="16"/>
      <c r="AF15">
        <v>-0.75884399999999996</v>
      </c>
      <c r="AG15">
        <v>2.21191</v>
      </c>
      <c r="AH15">
        <v>-0.75507100000000005</v>
      </c>
      <c r="AI15">
        <v>1.93988</v>
      </c>
    </row>
    <row r="16" spans="1:37" x14ac:dyDescent="0.25">
      <c r="A16" s="40"/>
      <c r="B16" s="20"/>
      <c r="C16" s="21"/>
      <c r="D16">
        <v>-0.78597499999999998</v>
      </c>
      <c r="E16">
        <v>-1.8315300000000001</v>
      </c>
      <c r="F16">
        <v>-0.78224899999999997</v>
      </c>
      <c r="G16">
        <v>-1.47912</v>
      </c>
      <c r="H16">
        <v>-0.778528</v>
      </c>
      <c r="I16">
        <v>-1.0105599999999999</v>
      </c>
      <c r="J16">
        <v>-0.39227200000000001</v>
      </c>
      <c r="K16">
        <v>0</v>
      </c>
      <c r="L16" s="16"/>
      <c r="M16" s="16"/>
      <c r="N16">
        <v>0.37370700000000001</v>
      </c>
      <c r="O16">
        <v>0</v>
      </c>
      <c r="P16">
        <v>0.80661700000000003</v>
      </c>
      <c r="Q16">
        <v>0</v>
      </c>
      <c r="R16" s="20"/>
      <c r="S16" s="21"/>
      <c r="T16" s="12">
        <v>-0.774204</v>
      </c>
      <c r="U16">
        <v>-3.0686399999999998</v>
      </c>
      <c r="V16" s="25">
        <v>-0.77032999999999996</v>
      </c>
      <c r="W16">
        <v>-2.8782800000000002</v>
      </c>
      <c r="X16">
        <v>-0.76647699999999996</v>
      </c>
      <c r="Y16">
        <v>-2.6745399999999999</v>
      </c>
      <c r="Z16" s="41"/>
      <c r="AA16" s="41"/>
      <c r="AB16">
        <v>-0.76264699999999996</v>
      </c>
      <c r="AC16">
        <v>-2.4540899999999999</v>
      </c>
      <c r="AD16" s="16"/>
      <c r="AE16" s="16"/>
      <c r="AF16">
        <v>-0.75884399999999996</v>
      </c>
      <c r="AG16">
        <v>-2.21191</v>
      </c>
      <c r="AH16">
        <v>-0.75507100000000005</v>
      </c>
      <c r="AI16">
        <v>-1.93988</v>
      </c>
    </row>
    <row r="17" spans="1:35" x14ac:dyDescent="0.25">
      <c r="A17" s="40"/>
      <c r="B17" s="20" t="s">
        <v>1707</v>
      </c>
      <c r="C17" s="21" t="s">
        <v>1697</v>
      </c>
      <c r="D17">
        <v>6.3076599999999997E-3</v>
      </c>
      <c r="E17">
        <v>0.11611100000000001</v>
      </c>
      <c r="F17">
        <v>6.2439799999999997E-3</v>
      </c>
      <c r="G17">
        <v>0.116087</v>
      </c>
      <c r="H17">
        <v>6.3704499999999997E-3</v>
      </c>
      <c r="I17">
        <v>0.11600199999999999</v>
      </c>
      <c r="J17">
        <v>7.9154099999999995E-3</v>
      </c>
      <c r="K17">
        <v>0.114977</v>
      </c>
      <c r="N17">
        <v>3.2358600000000001E-3</v>
      </c>
      <c r="O17">
        <v>0.11591</v>
      </c>
      <c r="P17">
        <v>4.10488E-3</v>
      </c>
      <c r="Q17">
        <v>0.116148</v>
      </c>
      <c r="R17" s="20" t="s">
        <v>1707</v>
      </c>
      <c r="S17" s="21" t="s">
        <v>1697</v>
      </c>
      <c r="T17" s="12">
        <v>1.1068700000000001E-2</v>
      </c>
      <c r="U17">
        <v>0.12385599999999999</v>
      </c>
      <c r="V17">
        <v>1.074E-2</v>
      </c>
      <c r="W17">
        <v>0.123346</v>
      </c>
      <c r="X17">
        <v>1.04446E-2</v>
      </c>
      <c r="Y17">
        <v>0.12291000000000001</v>
      </c>
      <c r="Z17" s="28"/>
      <c r="AA17" s="28"/>
      <c r="AB17">
        <v>1.0178E-2</v>
      </c>
      <c r="AC17">
        <v>0.122528</v>
      </c>
      <c r="AD17" s="16"/>
      <c r="AE17" s="16"/>
      <c r="AF17">
        <v>9.9406700000000004E-3</v>
      </c>
      <c r="AG17">
        <v>0.122179</v>
      </c>
      <c r="AH17">
        <v>9.7403000000000003E-3</v>
      </c>
      <c r="AI17">
        <v>0.121841</v>
      </c>
    </row>
    <row r="18" spans="1:35" x14ac:dyDescent="0.25">
      <c r="A18" s="40"/>
      <c r="B18" s="20"/>
      <c r="C18" s="21"/>
      <c r="D18">
        <v>6.3076599999999997E-3</v>
      </c>
      <c r="E18">
        <v>-0.11611100000000001</v>
      </c>
      <c r="F18">
        <v>6.2439799999999997E-3</v>
      </c>
      <c r="G18">
        <v>-0.116087</v>
      </c>
      <c r="H18">
        <v>6.3704499999999997E-3</v>
      </c>
      <c r="I18">
        <v>-0.11600199999999999</v>
      </c>
      <c r="J18">
        <v>7.9154099999999995E-3</v>
      </c>
      <c r="K18">
        <v>-0.114977</v>
      </c>
      <c r="N18">
        <v>3.2358600000000001E-3</v>
      </c>
      <c r="O18">
        <v>-0.11591</v>
      </c>
      <c r="P18">
        <v>4.10488E-3</v>
      </c>
      <c r="Q18">
        <v>-0.116148</v>
      </c>
      <c r="R18" s="20"/>
      <c r="S18" s="21"/>
      <c r="T18" s="12">
        <v>1.1068700000000001E-2</v>
      </c>
      <c r="U18">
        <v>-0.12385599999999999</v>
      </c>
      <c r="V18">
        <v>1.074E-2</v>
      </c>
      <c r="W18">
        <v>-0.123346</v>
      </c>
      <c r="X18">
        <v>1.04446E-2</v>
      </c>
      <c r="Y18">
        <v>-0.12291000000000001</v>
      </c>
      <c r="Z18" s="28"/>
      <c r="AA18" s="28"/>
      <c r="AB18">
        <v>1.0178E-2</v>
      </c>
      <c r="AC18">
        <v>-0.122528</v>
      </c>
      <c r="AD18" s="16"/>
      <c r="AE18" s="16"/>
      <c r="AF18">
        <v>9.9406700000000004E-3</v>
      </c>
      <c r="AG18">
        <v>-0.122179</v>
      </c>
      <c r="AH18">
        <v>9.7403000000000003E-3</v>
      </c>
      <c r="AI18">
        <v>-0.121841</v>
      </c>
    </row>
    <row r="19" spans="1:35" x14ac:dyDescent="0.25">
      <c r="A19" s="40"/>
      <c r="B19" s="20" t="s">
        <v>1710</v>
      </c>
      <c r="C19" s="35" t="s">
        <v>1698</v>
      </c>
      <c r="D19" s="33">
        <v>-2.4230800000000001</v>
      </c>
      <c r="E19" s="33">
        <v>0</v>
      </c>
      <c r="F19" s="33">
        <v>-2.4260899999999999</v>
      </c>
      <c r="G19" s="33">
        <v>0</v>
      </c>
      <c r="H19" s="33">
        <v>-2.4291</v>
      </c>
      <c r="I19" s="33">
        <v>0</v>
      </c>
      <c r="J19" s="33">
        <v>-2.43208</v>
      </c>
      <c r="K19" s="33">
        <v>0</v>
      </c>
      <c r="L19" s="46"/>
      <c r="M19" s="46"/>
      <c r="N19" s="33">
        <v>-2.43485</v>
      </c>
      <c r="O19" s="33">
        <v>0</v>
      </c>
      <c r="P19" s="33">
        <v>-2.4344700000000001</v>
      </c>
      <c r="Q19" s="33">
        <v>0</v>
      </c>
      <c r="R19" s="34" t="s">
        <v>1710</v>
      </c>
      <c r="S19" s="35" t="s">
        <v>1698</v>
      </c>
      <c r="T19" s="36">
        <v>-2.4552700000000001</v>
      </c>
      <c r="U19" s="33">
        <v>0</v>
      </c>
      <c r="V19" s="33">
        <v>-2.4583300000000001</v>
      </c>
      <c r="W19" s="33">
        <v>0</v>
      </c>
      <c r="X19" s="33">
        <v>-2.4613800000000001</v>
      </c>
      <c r="Y19" s="33">
        <v>0</v>
      </c>
      <c r="Z19" s="33"/>
      <c r="AA19" s="33"/>
      <c r="AB19" s="33">
        <v>-2.46441</v>
      </c>
      <c r="AC19" s="33">
        <v>0</v>
      </c>
      <c r="AD19" s="33"/>
      <c r="AE19" s="33"/>
      <c r="AF19" s="33">
        <v>-2.4674200000000002</v>
      </c>
      <c r="AG19" s="33">
        <v>0</v>
      </c>
      <c r="AH19" s="33">
        <v>-2.4704299999999999</v>
      </c>
      <c r="AI19" s="33">
        <v>0</v>
      </c>
    </row>
    <row r="20" spans="1:35" x14ac:dyDescent="0.25">
      <c r="A20" s="40"/>
      <c r="B20" s="20" t="s">
        <v>1709</v>
      </c>
      <c r="C20" s="21" t="s">
        <v>1699</v>
      </c>
      <c r="D20">
        <v>6.1338799999999998E-4</v>
      </c>
      <c r="E20">
        <v>0</v>
      </c>
      <c r="F20">
        <v>2.0390299999999999E-4</v>
      </c>
      <c r="G20">
        <v>0</v>
      </c>
      <c r="H20">
        <v>-6.6978899999999995E-4</v>
      </c>
      <c r="I20">
        <v>0</v>
      </c>
      <c r="J20">
        <v>-5.5280099999999999E-3</v>
      </c>
      <c r="K20">
        <v>0</v>
      </c>
      <c r="L20" s="16"/>
      <c r="M20" s="16"/>
      <c r="N20">
        <v>4.8877299999999999E-3</v>
      </c>
      <c r="O20">
        <v>0</v>
      </c>
      <c r="P20">
        <v>2.1562399999999998E-3</v>
      </c>
      <c r="Q20">
        <v>0</v>
      </c>
      <c r="R20" s="20" t="s">
        <v>1709</v>
      </c>
      <c r="S20" s="21" t="s">
        <v>1699</v>
      </c>
      <c r="T20" s="12">
        <v>-1.7989900000000001E-3</v>
      </c>
      <c r="U20">
        <v>0</v>
      </c>
      <c r="V20">
        <v>-1.58227E-3</v>
      </c>
      <c r="W20">
        <v>0</v>
      </c>
      <c r="X20">
        <v>-1.42E-3</v>
      </c>
      <c r="Y20">
        <v>0</v>
      </c>
      <c r="AB20">
        <v>-1.30495E-3</v>
      </c>
      <c r="AC20">
        <v>0</v>
      </c>
      <c r="AD20" s="27"/>
      <c r="AE20" s="16"/>
      <c r="AF20">
        <v>-1.2260299999999999E-3</v>
      </c>
      <c r="AG20">
        <v>0</v>
      </c>
      <c r="AH20">
        <v>-1.15493E-3</v>
      </c>
      <c r="AI20">
        <v>0</v>
      </c>
    </row>
    <row r="21" spans="1:35" ht="15.75" thickBot="1" x14ac:dyDescent="0.3">
      <c r="A21" s="40"/>
      <c r="B21" s="22" t="s">
        <v>1708</v>
      </c>
      <c r="C21" s="23" t="s">
        <v>1700</v>
      </c>
      <c r="D21">
        <v>-0.10243099999999999</v>
      </c>
      <c r="E21">
        <v>3.5785300000000002</v>
      </c>
      <c r="F21">
        <v>-0.10058</v>
      </c>
      <c r="G21">
        <v>3.53742</v>
      </c>
      <c r="H21">
        <v>-9.8699200000000001E-2</v>
      </c>
      <c r="I21">
        <v>3.4959099999999999</v>
      </c>
      <c r="J21">
        <v>-9.6787200000000004E-2</v>
      </c>
      <c r="K21">
        <v>3.45397</v>
      </c>
      <c r="N21">
        <v>-9.4841300000000003E-2</v>
      </c>
      <c r="O21">
        <v>3.4115899999999999</v>
      </c>
      <c r="P21">
        <v>-9.2858999999999997E-2</v>
      </c>
      <c r="Q21">
        <v>3.3687399999999998</v>
      </c>
      <c r="R21" s="22" t="s">
        <v>1708</v>
      </c>
      <c r="S21" s="23" t="s">
        <v>1700</v>
      </c>
      <c r="T21" s="12">
        <v>-0.82192299999999996</v>
      </c>
      <c r="U21">
        <v>0</v>
      </c>
      <c r="V21">
        <v>-0.85962099999999997</v>
      </c>
      <c r="W21">
        <v>0</v>
      </c>
      <c r="X21">
        <v>-0.89539599999999997</v>
      </c>
      <c r="Y21">
        <v>0</v>
      </c>
      <c r="Z21" s="28"/>
      <c r="AA21" s="28"/>
      <c r="AB21">
        <v>-0.92949499999999996</v>
      </c>
      <c r="AC21">
        <v>0</v>
      </c>
      <c r="AF21">
        <v>-0.96213800000000005</v>
      </c>
      <c r="AG21">
        <v>0</v>
      </c>
      <c r="AH21">
        <v>-0.99355000000000004</v>
      </c>
      <c r="AI21">
        <v>0</v>
      </c>
    </row>
    <row r="22" spans="1:35" x14ac:dyDescent="0.25">
      <c r="A22" s="40"/>
      <c r="B22" s="18"/>
      <c r="D22">
        <v>-0.10243099999999999</v>
      </c>
      <c r="E22">
        <v>-3.5785300000000002</v>
      </c>
      <c r="F22">
        <v>-0.10058</v>
      </c>
      <c r="G22">
        <v>-3.53742</v>
      </c>
      <c r="H22">
        <v>-9.8699200000000001E-2</v>
      </c>
      <c r="I22">
        <v>-3.4959099999999999</v>
      </c>
      <c r="J22">
        <v>-9.6787200000000004E-2</v>
      </c>
      <c r="K22">
        <v>-3.45397</v>
      </c>
      <c r="N22">
        <v>-9.4841300000000003E-2</v>
      </c>
      <c r="O22">
        <v>-3.4115899999999999</v>
      </c>
      <c r="P22">
        <v>-9.2858999999999997E-2</v>
      </c>
      <c r="Q22">
        <v>-3.3687399999999998</v>
      </c>
      <c r="T22" s="12">
        <v>0.971306</v>
      </c>
      <c r="U22">
        <v>0</v>
      </c>
      <c r="V22">
        <v>1.0099499999999999</v>
      </c>
      <c r="W22">
        <v>0</v>
      </c>
      <c r="X22">
        <v>1.04661</v>
      </c>
      <c r="Y22">
        <v>0</v>
      </c>
      <c r="Z22" s="28"/>
      <c r="AA22" s="28"/>
      <c r="AB22">
        <v>1.08155</v>
      </c>
      <c r="AC22">
        <v>0</v>
      </c>
      <c r="AF22">
        <v>1.1149899999999999</v>
      </c>
      <c r="AG22">
        <v>0</v>
      </c>
      <c r="AH22">
        <v>1.1471100000000001</v>
      </c>
      <c r="AI22">
        <v>0</v>
      </c>
    </row>
    <row r="23" spans="1:35" x14ac:dyDescent="0.25">
      <c r="D23" t="s">
        <v>1703</v>
      </c>
      <c r="E23" t="s">
        <v>1704</v>
      </c>
      <c r="F23" t="s">
        <v>1703</v>
      </c>
      <c r="G23" t="s">
        <v>1704</v>
      </c>
      <c r="T23" s="12"/>
    </row>
    <row r="24" spans="1:35" x14ac:dyDescent="0.25">
      <c r="T24" s="12"/>
    </row>
    <row r="25" spans="1:35" x14ac:dyDescent="0.25">
      <c r="A25" t="s">
        <v>1767</v>
      </c>
      <c r="T25" s="12"/>
    </row>
    <row r="26" spans="1:35" x14ac:dyDescent="0.25">
      <c r="A26" t="s">
        <v>1768</v>
      </c>
      <c r="T26" s="12"/>
      <c r="Y26" t="s">
        <v>1687</v>
      </c>
    </row>
    <row r="27" spans="1:35" x14ac:dyDescent="0.25">
      <c r="T27" s="12" t="s">
        <v>1771</v>
      </c>
      <c r="Y27" s="26" t="s">
        <v>1702</v>
      </c>
      <c r="Z27" t="s">
        <v>1774</v>
      </c>
      <c r="AA27" t="s">
        <v>1775</v>
      </c>
      <c r="AB27" t="s">
        <v>1776</v>
      </c>
      <c r="AC27" t="s">
        <v>1777</v>
      </c>
    </row>
    <row r="28" spans="1:35" x14ac:dyDescent="0.25">
      <c r="U28" t="s">
        <v>189</v>
      </c>
      <c r="V28" t="s">
        <v>751</v>
      </c>
      <c r="Y28">
        <v>0</v>
      </c>
      <c r="Z28">
        <v>2.4172799999999999</v>
      </c>
      <c r="AA28">
        <v>2.4344700000000001</v>
      </c>
      <c r="AB28">
        <v>2.4560900000000001</v>
      </c>
      <c r="AC28">
        <v>2.4704299999999999</v>
      </c>
      <c r="AG28" s="26"/>
    </row>
    <row r="29" spans="1:35" x14ac:dyDescent="0.25">
      <c r="T29" t="s">
        <v>1773</v>
      </c>
      <c r="U29">
        <v>-25619.068359000001</v>
      </c>
      <c r="V29">
        <v>-21497.636718999998</v>
      </c>
      <c r="Y29">
        <v>0.2</v>
      </c>
      <c r="Z29">
        <v>2.4156200000000001</v>
      </c>
      <c r="AA29">
        <v>2.43485</v>
      </c>
      <c r="AB29">
        <v>2.45506</v>
      </c>
      <c r="AC29">
        <v>2.4674200000000002</v>
      </c>
    </row>
    <row r="30" spans="1:35" x14ac:dyDescent="0.25">
      <c r="T30" t="s">
        <v>1772</v>
      </c>
      <c r="U30">
        <f>U29/(0.5*0.0014963*634^2*300*30)*2*634/30</f>
        <v>-0.40008440743388551</v>
      </c>
      <c r="V30">
        <f>V29/(0.5*0.0014963*634^2*300*30)*2*634/30</f>
        <v>-0.33572139031076664</v>
      </c>
      <c r="Y30">
        <v>0.4</v>
      </c>
      <c r="Z30">
        <v>2.4140199999999998</v>
      </c>
      <c r="AA30">
        <v>2.43208</v>
      </c>
      <c r="AB30">
        <v>2.4540500000000001</v>
      </c>
      <c r="AC30">
        <v>2.46441</v>
      </c>
    </row>
    <row r="31" spans="1:35" x14ac:dyDescent="0.25">
      <c r="T31" s="12"/>
      <c r="Y31">
        <v>0.6</v>
      </c>
      <c r="Z31">
        <v>2.4124699999999999</v>
      </c>
      <c r="AA31">
        <v>2.4291</v>
      </c>
      <c r="AB31">
        <v>2.4530500000000002</v>
      </c>
      <c r="AC31">
        <v>2.4613800000000001</v>
      </c>
    </row>
    <row r="32" spans="1:35" x14ac:dyDescent="0.25">
      <c r="T32" s="12">
        <f>(D8-T8)/D8</f>
        <v>-1.7260770862125407E-2</v>
      </c>
      <c r="Y32">
        <v>0.8</v>
      </c>
      <c r="Z32" s="37">
        <v>2.4109699999999998</v>
      </c>
      <c r="AA32">
        <v>2.4260899999999999</v>
      </c>
      <c r="AB32">
        <v>2.45207</v>
      </c>
      <c r="AC32">
        <v>2.4583300000000001</v>
      </c>
    </row>
    <row r="33" spans="20:29" x14ac:dyDescent="0.25">
      <c r="T33" s="12"/>
      <c r="Y33">
        <v>1</v>
      </c>
      <c r="Z33" s="15">
        <v>2.40951</v>
      </c>
      <c r="AA33">
        <v>2.4230800000000001</v>
      </c>
      <c r="AB33" s="12">
        <v>2.4510999999999998</v>
      </c>
      <c r="AC33" s="12">
        <v>2.4552700000000001</v>
      </c>
    </row>
    <row r="35" spans="20:29" x14ac:dyDescent="0.25">
      <c r="T35" s="12" t="s">
        <v>1805</v>
      </c>
      <c r="U35" t="s">
        <v>1786</v>
      </c>
      <c r="V35" t="s">
        <v>1776</v>
      </c>
      <c r="Y35" t="s">
        <v>1769</v>
      </c>
    </row>
    <row r="36" spans="20:29" x14ac:dyDescent="0.25">
      <c r="T36" s="12" t="s">
        <v>1797</v>
      </c>
      <c r="Y36" s="26" t="s">
        <v>1702</v>
      </c>
      <c r="Z36" t="s">
        <v>1774</v>
      </c>
      <c r="AA36" t="s">
        <v>1775</v>
      </c>
      <c r="AB36" t="s">
        <v>1776</v>
      </c>
      <c r="AC36" t="s">
        <v>1777</v>
      </c>
    </row>
    <row r="37" spans="20:29" x14ac:dyDescent="0.25">
      <c r="T37" s="12" t="s">
        <v>1806</v>
      </c>
      <c r="Y37">
        <v>0</v>
      </c>
      <c r="Z37">
        <v>-6.1957699999999997E-3</v>
      </c>
      <c r="AA37">
        <v>-2.1562399999999998E-3</v>
      </c>
      <c r="AB37">
        <v>-1.1230199999999999E-2</v>
      </c>
      <c r="AC37">
        <v>1.15493E-3</v>
      </c>
    </row>
    <row r="38" spans="20:29" x14ac:dyDescent="0.25">
      <c r="T38" s="12" t="s">
        <v>1792</v>
      </c>
      <c r="Y38">
        <v>0.2</v>
      </c>
      <c r="Z38">
        <v>-6.4442299999999996E-3</v>
      </c>
      <c r="AA38">
        <v>-4.8877299999999999E-3</v>
      </c>
      <c r="AB38">
        <v>-1.14568E-2</v>
      </c>
      <c r="AC38">
        <v>1.2260299999999999E-3</v>
      </c>
    </row>
    <row r="39" spans="20:29" x14ac:dyDescent="0.25">
      <c r="T39" s="12" t="s">
        <v>1781</v>
      </c>
      <c r="Y39">
        <v>0.4</v>
      </c>
      <c r="Z39">
        <v>-6.6888599999999996E-3</v>
      </c>
      <c r="AA39">
        <v>5.5280099999999999E-3</v>
      </c>
      <c r="AB39">
        <v>-1.1687599999999999E-2</v>
      </c>
      <c r="AC39">
        <v>1.30495E-3</v>
      </c>
    </row>
    <row r="40" spans="20:29" x14ac:dyDescent="0.25">
      <c r="T40" s="12" t="s">
        <v>1810</v>
      </c>
      <c r="Y40">
        <v>0.6</v>
      </c>
      <c r="Z40">
        <v>-6.9305800000000004E-3</v>
      </c>
      <c r="AA40">
        <v>6.6978899999999995E-4</v>
      </c>
      <c r="AB40">
        <v>-1.1923100000000001E-2</v>
      </c>
      <c r="AC40">
        <v>1.42E-3</v>
      </c>
    </row>
    <row r="41" spans="20:29" x14ac:dyDescent="0.25">
      <c r="T41" s="12" t="s">
        <v>1808</v>
      </c>
      <c r="Y41">
        <v>0.8</v>
      </c>
      <c r="Z41" s="37">
        <v>-7.1689800000000001E-3</v>
      </c>
      <c r="AA41">
        <v>-2.0390299999999999E-4</v>
      </c>
      <c r="AB41">
        <v>-1.21642E-2</v>
      </c>
      <c r="AC41">
        <v>1.58227E-3</v>
      </c>
    </row>
    <row r="42" spans="20:29" x14ac:dyDescent="0.25">
      <c r="T42" s="12" t="s">
        <v>1782</v>
      </c>
      <c r="Y42">
        <v>1</v>
      </c>
      <c r="Z42" s="15">
        <v>-7.4044899999999997E-3</v>
      </c>
      <c r="AA42">
        <v>-6.1338799999999998E-4</v>
      </c>
      <c r="AB42">
        <v>-1.2411800000000001E-2</v>
      </c>
      <c r="AC42" s="12">
        <v>1.7989900000000001E-3</v>
      </c>
    </row>
    <row r="43" spans="20:29" x14ac:dyDescent="0.25">
      <c r="T43" s="12" t="s">
        <v>1809</v>
      </c>
    </row>
    <row r="44" spans="20:29" x14ac:dyDescent="0.25">
      <c r="T44" s="12" t="s">
        <v>1807</v>
      </c>
    </row>
    <row r="45" spans="20:29" x14ac:dyDescent="0.25">
      <c r="T45" s="12"/>
    </row>
    <row r="46" spans="20:29" x14ac:dyDescent="0.25">
      <c r="T46" s="12"/>
    </row>
    <row r="47" spans="20:29" x14ac:dyDescent="0.25">
      <c r="T47" s="12"/>
    </row>
    <row r="48" spans="20:29" x14ac:dyDescent="0.25">
      <c r="T48" s="12"/>
    </row>
    <row r="49" spans="1:20" x14ac:dyDescent="0.25">
      <c r="T49" s="12"/>
    </row>
    <row r="50" spans="1:20" x14ac:dyDescent="0.25">
      <c r="T50" s="12"/>
    </row>
    <row r="51" spans="1:20" x14ac:dyDescent="0.25">
      <c r="T51" s="12"/>
    </row>
    <row r="52" spans="1:20" x14ac:dyDescent="0.25">
      <c r="T52" s="12"/>
    </row>
    <row r="53" spans="1:20" x14ac:dyDescent="0.25">
      <c r="T53" s="12"/>
    </row>
    <row r="54" spans="1:20" x14ac:dyDescent="0.25">
      <c r="A54" t="s">
        <v>1686</v>
      </c>
      <c r="T54" s="12"/>
    </row>
    <row r="55" spans="1:20" x14ac:dyDescent="0.25">
      <c r="T55" s="12"/>
    </row>
    <row r="56" spans="1:20" x14ac:dyDescent="0.25">
      <c r="T56" s="12"/>
    </row>
    <row r="57" spans="1:20" x14ac:dyDescent="0.25">
      <c r="T57" s="12"/>
    </row>
    <row r="58" spans="1:20" x14ac:dyDescent="0.25">
      <c r="T58" s="12"/>
    </row>
    <row r="59" spans="1:20" x14ac:dyDescent="0.25">
      <c r="T59" s="12"/>
    </row>
    <row r="60" spans="1:20" x14ac:dyDescent="0.25">
      <c r="T60" s="12"/>
    </row>
    <row r="61" spans="1:20" x14ac:dyDescent="0.25">
      <c r="T61" s="12"/>
    </row>
    <row r="62" spans="1:20" x14ac:dyDescent="0.25">
      <c r="T62" s="12"/>
    </row>
    <row r="63" spans="1:20" x14ac:dyDescent="0.25">
      <c r="T63" s="12"/>
    </row>
    <row r="83" spans="1:1" x14ac:dyDescent="0.25">
      <c r="A83" t="s">
        <v>1687</v>
      </c>
    </row>
    <row r="113" spans="1:1" x14ac:dyDescent="0.25">
      <c r="A113" t="s">
        <v>1769</v>
      </c>
    </row>
    <row r="144" spans="1:1" x14ac:dyDescent="0.25">
      <c r="A144" t="s">
        <v>1770</v>
      </c>
    </row>
    <row r="145" spans="1:1" x14ac:dyDescent="0.25">
      <c r="A145" t="s">
        <v>1687</v>
      </c>
    </row>
  </sheetData>
  <mergeCells count="38">
    <mergeCell ref="AF3:AG3"/>
    <mergeCell ref="L19:M19"/>
    <mergeCell ref="AD9:AE9"/>
    <mergeCell ref="Z5:AA5"/>
    <mergeCell ref="Z16:AA16"/>
    <mergeCell ref="AF14:AG14"/>
    <mergeCell ref="A13:A22"/>
    <mergeCell ref="D13:P13"/>
    <mergeCell ref="T13:AH13"/>
    <mergeCell ref="D14:E14"/>
    <mergeCell ref="F14:G14"/>
    <mergeCell ref="H14:I14"/>
    <mergeCell ref="J14:K14"/>
    <mergeCell ref="N14:O14"/>
    <mergeCell ref="AH14:AI14"/>
    <mergeCell ref="L14:M14"/>
    <mergeCell ref="AD14:AE14"/>
    <mergeCell ref="P14:Q14"/>
    <mergeCell ref="T14:U14"/>
    <mergeCell ref="V14:W14"/>
    <mergeCell ref="X14:Y14"/>
    <mergeCell ref="AB14:AC14"/>
    <mergeCell ref="A2:A11"/>
    <mergeCell ref="D2:P2"/>
    <mergeCell ref="T2:AH2"/>
    <mergeCell ref="D3:E3"/>
    <mergeCell ref="F3:G3"/>
    <mergeCell ref="H3:I3"/>
    <mergeCell ref="J3:K3"/>
    <mergeCell ref="N3:O3"/>
    <mergeCell ref="P3:Q3"/>
    <mergeCell ref="L3:M3"/>
    <mergeCell ref="AD3:AE3"/>
    <mergeCell ref="AH3:AI3"/>
    <mergeCell ref="T3:U3"/>
    <mergeCell ref="V3:W3"/>
    <mergeCell ref="X3:Y3"/>
    <mergeCell ref="AB3:AC3"/>
  </mergeCell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8F1D-63A6-4738-BDFF-1247AF28140B}">
  <dimension ref="A1:G75"/>
  <sheetViews>
    <sheetView zoomScaleNormal="100" workbookViewId="0">
      <selection activeCell="C3" sqref="C3"/>
    </sheetView>
  </sheetViews>
  <sheetFormatPr defaultRowHeight="15" x14ac:dyDescent="0.25"/>
  <cols>
    <col min="3" max="3" width="12" bestFit="1" customWidth="1"/>
  </cols>
  <sheetData>
    <row r="1" spans="1:7" x14ac:dyDescent="0.25">
      <c r="B1" s="41" t="s">
        <v>1779</v>
      </c>
      <c r="C1" s="41"/>
      <c r="D1" s="41" t="s">
        <v>1781</v>
      </c>
      <c r="E1" s="41"/>
      <c r="F1" s="41" t="s">
        <v>1782</v>
      </c>
      <c r="G1" s="41"/>
    </row>
    <row r="2" spans="1:7" x14ac:dyDescent="0.25">
      <c r="A2" t="s">
        <v>1778</v>
      </c>
      <c r="B2" t="s">
        <v>1780</v>
      </c>
      <c r="C2" t="s">
        <v>189</v>
      </c>
      <c r="D2" t="s">
        <v>1780</v>
      </c>
      <c r="E2" t="s">
        <v>189</v>
      </c>
      <c r="F2" t="s">
        <v>1780</v>
      </c>
      <c r="G2" t="s">
        <v>189</v>
      </c>
    </row>
    <row r="3" spans="1:7" x14ac:dyDescent="0.25">
      <c r="A3">
        <v>-180</v>
      </c>
      <c r="B3">
        <v>0.13750000000000001</v>
      </c>
      <c r="C3">
        <f>-0.124252614122785*SIN(2*RADIANS(A3) + 1.57079632679489) + 0.0306438939060827 -0.1297</f>
        <v>-0.22330872021670231</v>
      </c>
      <c r="D3">
        <v>-7.8700000000000006E-2</v>
      </c>
      <c r="E3">
        <f>-0.0181551143319813-0.01015</f>
        <v>-2.8305114331981299E-2</v>
      </c>
      <c r="F3">
        <v>0.24260000000000001</v>
      </c>
      <c r="G3">
        <f>-0.317649032434651*SIN(2*RADIANS(A3) + 1.57079632679489) + 0.313010663242206-0.03265</f>
        <v>-3.7288369192444978E-2</v>
      </c>
    </row>
    <row r="4" spans="1:7" x14ac:dyDescent="0.25">
      <c r="A4">
        <v>-175</v>
      </c>
      <c r="B4">
        <v>0.13750000000000001</v>
      </c>
      <c r="C4">
        <f t="shared" ref="C4:C67" si="0">-0.124252614122785*SIN(2*RADIANS(A4) + 1.57079632679489) + 0.0306438939060827 -0.1297</f>
        <v>-0.2214210438140703</v>
      </c>
      <c r="D4">
        <v>-7.8700000000000006E-2</v>
      </c>
      <c r="E4">
        <f t="shared" ref="E4:E67" si="1">-0.0181551143319813-0.01015</f>
        <v>-2.8305114331981299E-2</v>
      </c>
      <c r="F4">
        <v>0.24260000000000001</v>
      </c>
      <c r="G4">
        <f t="shared" ref="G4:G67" si="2">-0.317649032434651*SIN(2*RADIANS(A4) + 1.57079632679489) + 0.313010663242206-0.03265</f>
        <v>-3.2462566636264997E-2</v>
      </c>
    </row>
    <row r="5" spans="1:7" x14ac:dyDescent="0.25">
      <c r="A5">
        <v>-170</v>
      </c>
      <c r="B5">
        <v>0.13750000000000001</v>
      </c>
      <c r="C5">
        <f t="shared" si="0"/>
        <v>-0.21581537069845763</v>
      </c>
      <c r="D5">
        <v>-7.8700000000000006E-2</v>
      </c>
      <c r="E5">
        <f t="shared" si="1"/>
        <v>-2.8305114331981299E-2</v>
      </c>
      <c r="F5">
        <v>0.24260000000000001</v>
      </c>
      <c r="G5">
        <f t="shared" si="2"/>
        <v>-1.8131788536419988E-2</v>
      </c>
    </row>
    <row r="6" spans="1:7" x14ac:dyDescent="0.25">
      <c r="A6">
        <v>-165</v>
      </c>
      <c r="B6">
        <v>0.13750000000000001</v>
      </c>
      <c r="C6">
        <f t="shared" si="0"/>
        <v>-0.20666202641087458</v>
      </c>
      <c r="D6">
        <v>-7.8700000000000006E-2</v>
      </c>
      <c r="E6">
        <f t="shared" si="1"/>
        <v>-2.8305114331981299E-2</v>
      </c>
      <c r="F6">
        <v>0.24260000000000001</v>
      </c>
      <c r="G6">
        <f t="shared" si="2"/>
        <v>5.2685316662502563E-3</v>
      </c>
    </row>
    <row r="7" spans="1:7" x14ac:dyDescent="0.25">
      <c r="A7">
        <v>-160</v>
      </c>
      <c r="B7">
        <v>0.13750000000000001</v>
      </c>
      <c r="C7">
        <f t="shared" si="0"/>
        <v>-0.19423913068568388</v>
      </c>
      <c r="D7">
        <v>-7.8700000000000006E-2</v>
      </c>
      <c r="E7">
        <f t="shared" si="1"/>
        <v>-2.8305114331981299E-2</v>
      </c>
      <c r="F7">
        <v>0.24260000000000001</v>
      </c>
      <c r="G7">
        <f t="shared" si="2"/>
        <v>3.7027387083520366E-2</v>
      </c>
    </row>
    <row r="8" spans="1:7" x14ac:dyDescent="0.25">
      <c r="A8">
        <v>-155</v>
      </c>
      <c r="B8">
        <v>0.13750000000000001</v>
      </c>
      <c r="C8">
        <f t="shared" si="0"/>
        <v>-0.17892414692320685</v>
      </c>
      <c r="D8">
        <v>-7.8700000000000006E-2</v>
      </c>
      <c r="E8">
        <f t="shared" si="1"/>
        <v>-2.8305114331981299E-2</v>
      </c>
      <c r="F8">
        <v>0.24260000000000001</v>
      </c>
      <c r="G8">
        <f t="shared" si="2"/>
        <v>7.6179800964293096E-2</v>
      </c>
    </row>
    <row r="9" spans="1:7" x14ac:dyDescent="0.25">
      <c r="A9">
        <v>-150</v>
      </c>
      <c r="B9">
        <v>0.13750000000000001</v>
      </c>
      <c r="C9">
        <f t="shared" si="0"/>
        <v>-0.16118241315531054</v>
      </c>
      <c r="D9">
        <v>-7.8700000000000006E-2</v>
      </c>
      <c r="E9">
        <f t="shared" si="1"/>
        <v>-2.8305114331981299E-2</v>
      </c>
      <c r="F9">
        <v>0.24260000000000001</v>
      </c>
      <c r="G9">
        <f t="shared" si="2"/>
        <v>0.12153614702487865</v>
      </c>
    </row>
    <row r="10" spans="1:7" x14ac:dyDescent="0.25">
      <c r="A10">
        <v>-145</v>
      </c>
      <c r="B10">
        <v>0.13750000000000001</v>
      </c>
      <c r="C10">
        <f t="shared" si="0"/>
        <v>-0.14155300298478207</v>
      </c>
      <c r="D10">
        <v>-7.8700000000000006E-2</v>
      </c>
      <c r="E10">
        <f t="shared" si="1"/>
        <v>-2.8305114331981299E-2</v>
      </c>
      <c r="F10">
        <v>0.24260000000000001</v>
      </c>
      <c r="G10">
        <f t="shared" si="2"/>
        <v>0.17171829564164459</v>
      </c>
    </row>
    <row r="11" spans="1:7" x14ac:dyDescent="0.25">
      <c r="A11">
        <v>-140</v>
      </c>
      <c r="B11">
        <v>0.13750000000000001</v>
      </c>
      <c r="C11">
        <f t="shared" si="0"/>
        <v>-0.12063234610669199</v>
      </c>
      <c r="D11">
        <v>-7.8700000000000006E-2</v>
      </c>
      <c r="E11">
        <f t="shared" si="1"/>
        <v>-2.8305114331981299E-2</v>
      </c>
      <c r="F11">
        <v>0.24260000000000001</v>
      </c>
      <c r="G11">
        <f t="shared" si="2"/>
        <v>0.22520148762226322</v>
      </c>
    </row>
    <row r="12" spans="1:7" x14ac:dyDescent="0.25">
      <c r="A12">
        <v>-135</v>
      </c>
      <c r="B12">
        <v>0.13750000000000001</v>
      </c>
      <c r="C12">
        <f t="shared" si="0"/>
        <v>-9.9056106093918128E-2</v>
      </c>
      <c r="D12">
        <v>-7.8700000000000006E-2</v>
      </c>
      <c r="E12">
        <f t="shared" si="1"/>
        <v>-2.8305114331981299E-2</v>
      </c>
      <c r="F12">
        <v>0.24260000000000001</v>
      </c>
      <c r="G12">
        <f t="shared" si="2"/>
        <v>0.28036066324220393</v>
      </c>
    </row>
    <row r="13" spans="1:7" x14ac:dyDescent="0.25">
      <c r="A13">
        <v>-130</v>
      </c>
      <c r="B13">
        <v>0.13750000000000001</v>
      </c>
      <c r="C13">
        <f t="shared" si="0"/>
        <v>-7.7479866081144225E-2</v>
      </c>
      <c r="D13">
        <v>-7.8700000000000006E-2</v>
      </c>
      <c r="E13">
        <f t="shared" si="1"/>
        <v>-2.8305114331981299E-2</v>
      </c>
      <c r="F13">
        <v>0.24260000000000001</v>
      </c>
      <c r="G13">
        <f t="shared" si="2"/>
        <v>0.33551983886214465</v>
      </c>
    </row>
    <row r="14" spans="1:7" x14ac:dyDescent="0.25">
      <c r="A14">
        <v>-125</v>
      </c>
      <c r="B14">
        <v>0.13750000000000001</v>
      </c>
      <c r="C14">
        <f t="shared" si="0"/>
        <v>-5.6559209203054184E-2</v>
      </c>
      <c r="D14">
        <v>-7.8700000000000006E-2</v>
      </c>
      <c r="E14">
        <f t="shared" si="1"/>
        <v>-2.8305114331981299E-2</v>
      </c>
      <c r="F14">
        <v>0.24260000000000001</v>
      </c>
      <c r="G14">
        <f t="shared" si="2"/>
        <v>0.38900303084276328</v>
      </c>
    </row>
    <row r="15" spans="1:7" x14ac:dyDescent="0.25">
      <c r="A15">
        <v>-120</v>
      </c>
      <c r="B15">
        <v>0.13750000000000001</v>
      </c>
      <c r="C15">
        <f t="shared" si="0"/>
        <v>-3.6929799032525482E-2</v>
      </c>
      <c r="D15">
        <v>-7.8700000000000006E-2</v>
      </c>
      <c r="E15">
        <f t="shared" si="1"/>
        <v>-2.8305114331981299E-2</v>
      </c>
      <c r="F15">
        <v>0.24260000000000001</v>
      </c>
      <c r="G15">
        <f t="shared" si="2"/>
        <v>0.43918517945952978</v>
      </c>
    </row>
    <row r="16" spans="1:7" x14ac:dyDescent="0.25">
      <c r="A16">
        <v>-115</v>
      </c>
      <c r="B16">
        <v>0.13750000000000001</v>
      </c>
      <c r="C16">
        <f t="shared" si="0"/>
        <v>-1.9188065264629017E-2</v>
      </c>
      <c r="D16">
        <v>-7.8700000000000006E-2</v>
      </c>
      <c r="E16">
        <f t="shared" si="1"/>
        <v>-2.8305114331981299E-2</v>
      </c>
      <c r="F16">
        <v>0.24260000000000001</v>
      </c>
      <c r="G16">
        <f t="shared" si="2"/>
        <v>0.4845415255201157</v>
      </c>
    </row>
    <row r="17" spans="1:7" x14ac:dyDescent="0.25">
      <c r="A17">
        <v>-110</v>
      </c>
      <c r="B17">
        <v>0.13750000000000001</v>
      </c>
      <c r="C17">
        <f t="shared" si="0"/>
        <v>-3.8730815021517373E-3</v>
      </c>
      <c r="D17">
        <v>-7.8700000000000006E-2</v>
      </c>
      <c r="E17">
        <f t="shared" si="1"/>
        <v>-2.8305114331981299E-2</v>
      </c>
      <c r="F17">
        <v>0.24260000000000001</v>
      </c>
      <c r="G17">
        <f t="shared" si="2"/>
        <v>0.52369393940088915</v>
      </c>
    </row>
    <row r="18" spans="1:7" x14ac:dyDescent="0.25">
      <c r="A18">
        <v>-105</v>
      </c>
      <c r="B18">
        <v>0.13750000000000001</v>
      </c>
      <c r="C18">
        <f t="shared" si="0"/>
        <v>8.5498142230391871E-3</v>
      </c>
      <c r="D18">
        <v>-7.8700000000000006E-2</v>
      </c>
      <c r="E18">
        <f t="shared" si="1"/>
        <v>-2.8305114331981299E-2</v>
      </c>
      <c r="F18">
        <v>0.24260000000000001</v>
      </c>
      <c r="G18">
        <f t="shared" si="2"/>
        <v>0.55545279481815979</v>
      </c>
    </row>
    <row r="19" spans="1:7" x14ac:dyDescent="0.25">
      <c r="A19">
        <v>-100</v>
      </c>
      <c r="B19">
        <v>0.13750000000000001</v>
      </c>
      <c r="C19">
        <f t="shared" si="0"/>
        <v>1.7703158510622402E-2</v>
      </c>
      <c r="D19">
        <v>-7.8700000000000006E-2</v>
      </c>
      <c r="E19">
        <f t="shared" si="1"/>
        <v>-2.8305114331981299E-2</v>
      </c>
      <c r="F19">
        <v>0.24260000000000001</v>
      </c>
      <c r="G19">
        <f t="shared" si="2"/>
        <v>0.57885311502083059</v>
      </c>
    </row>
    <row r="20" spans="1:7" x14ac:dyDescent="0.25">
      <c r="A20">
        <v>-95</v>
      </c>
      <c r="B20">
        <v>0.13750000000000001</v>
      </c>
      <c r="C20">
        <f t="shared" si="0"/>
        <v>2.3308831626235399E-2</v>
      </c>
      <c r="D20">
        <v>-7.8700000000000006E-2</v>
      </c>
      <c r="E20">
        <f t="shared" si="1"/>
        <v>-2.8305114331981299E-2</v>
      </c>
      <c r="F20">
        <v>0.24260000000000001</v>
      </c>
      <c r="G20">
        <f t="shared" si="2"/>
        <v>0.59318389312067632</v>
      </c>
    </row>
    <row r="21" spans="1:7" x14ac:dyDescent="0.25">
      <c r="A21">
        <v>-90</v>
      </c>
      <c r="B21">
        <v>0.13750000000000001</v>
      </c>
      <c r="C21">
        <f t="shared" si="0"/>
        <v>2.5196508028867692E-2</v>
      </c>
      <c r="D21">
        <v>-7.8700000000000006E-2</v>
      </c>
      <c r="E21">
        <f t="shared" si="1"/>
        <v>-2.8305114331981299E-2</v>
      </c>
      <c r="F21">
        <v>0.24260000000000001</v>
      </c>
      <c r="G21">
        <f t="shared" si="2"/>
        <v>0.59800969567685702</v>
      </c>
    </row>
    <row r="22" spans="1:7" x14ac:dyDescent="0.25">
      <c r="A22">
        <v>-85</v>
      </c>
      <c r="B22">
        <v>0.13750000000000001</v>
      </c>
      <c r="C22">
        <f t="shared" si="0"/>
        <v>2.3308831626235677E-2</v>
      </c>
      <c r="D22">
        <v>-7.8700000000000006E-2</v>
      </c>
      <c r="E22">
        <f t="shared" si="1"/>
        <v>-2.8305114331981299E-2</v>
      </c>
      <c r="F22">
        <v>0.24260000000000001</v>
      </c>
      <c r="G22">
        <f t="shared" si="2"/>
        <v>0.5931838931206771</v>
      </c>
    </row>
    <row r="23" spans="1:7" x14ac:dyDescent="0.25">
      <c r="A23">
        <v>-80</v>
      </c>
      <c r="B23">
        <v>0.13750000000000001</v>
      </c>
      <c r="C23">
        <f t="shared" si="0"/>
        <v>1.7703158510622985E-2</v>
      </c>
      <c r="D23">
        <v>-7.8700000000000006E-2</v>
      </c>
      <c r="E23">
        <f t="shared" si="1"/>
        <v>-2.8305114331981299E-2</v>
      </c>
      <c r="F23">
        <v>0.24260000000000001</v>
      </c>
      <c r="G23">
        <f t="shared" si="2"/>
        <v>0.57885311502083192</v>
      </c>
    </row>
    <row r="24" spans="1:7" x14ac:dyDescent="0.25">
      <c r="A24">
        <v>-75</v>
      </c>
      <c r="B24">
        <v>0.13750000000000001</v>
      </c>
      <c r="C24">
        <f t="shared" si="0"/>
        <v>8.5498142230400476E-3</v>
      </c>
      <c r="D24">
        <v>-7.8700000000000006E-2</v>
      </c>
      <c r="E24">
        <f t="shared" si="1"/>
        <v>-2.8305114331981299E-2</v>
      </c>
      <c r="F24">
        <v>0.24260000000000001</v>
      </c>
      <c r="G24">
        <f t="shared" si="2"/>
        <v>0.55545279481816201</v>
      </c>
    </row>
    <row r="25" spans="1:7" x14ac:dyDescent="0.25">
      <c r="A25">
        <v>-70</v>
      </c>
      <c r="B25">
        <v>0.13750000000000001</v>
      </c>
      <c r="C25">
        <f t="shared" si="0"/>
        <v>-3.8730815021506826E-3</v>
      </c>
      <c r="D25">
        <v>-7.8700000000000006E-2</v>
      </c>
      <c r="E25">
        <f t="shared" si="1"/>
        <v>-2.8305114331981299E-2</v>
      </c>
      <c r="F25">
        <v>0.24260000000000001</v>
      </c>
      <c r="G25">
        <f t="shared" si="2"/>
        <v>0.52369393940089182</v>
      </c>
    </row>
    <row r="26" spans="1:7" x14ac:dyDescent="0.25">
      <c r="A26">
        <v>-65</v>
      </c>
      <c r="B26">
        <v>0.13750000000000001</v>
      </c>
      <c r="C26">
        <f t="shared" si="0"/>
        <v>-1.9188065264627754E-2</v>
      </c>
      <c r="D26">
        <v>-7.8700000000000006E-2</v>
      </c>
      <c r="E26">
        <f t="shared" si="1"/>
        <v>-2.8305114331981299E-2</v>
      </c>
      <c r="F26">
        <v>0.24260000000000001</v>
      </c>
      <c r="G26">
        <f t="shared" si="2"/>
        <v>0.48454152552011892</v>
      </c>
    </row>
    <row r="27" spans="1:7" x14ac:dyDescent="0.25">
      <c r="A27">
        <v>-60</v>
      </c>
      <c r="B27">
        <v>0.13750000000000001</v>
      </c>
      <c r="C27">
        <f t="shared" si="0"/>
        <v>-3.6929799032524108E-2</v>
      </c>
      <c r="D27">
        <v>-7.8700000000000006E-2</v>
      </c>
      <c r="E27">
        <f t="shared" si="1"/>
        <v>-2.8305114331981299E-2</v>
      </c>
      <c r="F27">
        <v>0.24260000000000001</v>
      </c>
      <c r="G27">
        <f t="shared" si="2"/>
        <v>0.43918517945953328</v>
      </c>
    </row>
    <row r="28" spans="1:7" x14ac:dyDescent="0.25">
      <c r="A28">
        <v>-55</v>
      </c>
      <c r="B28">
        <v>0.13750000000000001</v>
      </c>
      <c r="C28">
        <f t="shared" si="0"/>
        <v>-5.6559209203052588E-2</v>
      </c>
      <c r="D28">
        <v>-7.8700000000000006E-2</v>
      </c>
      <c r="E28">
        <f t="shared" si="1"/>
        <v>-2.8305114331981299E-2</v>
      </c>
      <c r="F28">
        <v>0.24260000000000001</v>
      </c>
      <c r="G28">
        <f t="shared" si="2"/>
        <v>0.38900303084276733</v>
      </c>
    </row>
    <row r="29" spans="1:7" x14ac:dyDescent="0.25">
      <c r="A29">
        <v>-50</v>
      </c>
      <c r="B29">
        <v>0.13750000000000001</v>
      </c>
      <c r="C29">
        <f t="shared" si="0"/>
        <v>-7.7479866081142573E-2</v>
      </c>
      <c r="D29">
        <v>-7.8700000000000006E-2</v>
      </c>
      <c r="E29">
        <f t="shared" si="1"/>
        <v>-2.8305114331981299E-2</v>
      </c>
      <c r="F29">
        <v>0.24260000000000001</v>
      </c>
      <c r="G29">
        <f t="shared" si="2"/>
        <v>0.33551983886214887</v>
      </c>
    </row>
    <row r="30" spans="1:7" x14ac:dyDescent="0.25">
      <c r="A30">
        <v>-45</v>
      </c>
      <c r="B30">
        <v>0.13750000000000001</v>
      </c>
      <c r="C30">
        <f t="shared" si="0"/>
        <v>-9.9056106093916477E-2</v>
      </c>
      <c r="D30">
        <v>-7.8700000000000006E-2</v>
      </c>
      <c r="E30">
        <f t="shared" si="1"/>
        <v>-2.8305114331981299E-2</v>
      </c>
      <c r="F30">
        <v>0.24260000000000001</v>
      </c>
      <c r="G30">
        <f t="shared" si="2"/>
        <v>0.2803606632422081</v>
      </c>
    </row>
    <row r="31" spans="1:7" x14ac:dyDescent="0.25">
      <c r="A31">
        <v>-40</v>
      </c>
      <c r="B31">
        <v>0.13750000000000001</v>
      </c>
      <c r="C31">
        <f t="shared" si="0"/>
        <v>-0.12063234610669041</v>
      </c>
      <c r="D31">
        <v>-7.8700000000000006E-2</v>
      </c>
      <c r="E31">
        <f t="shared" si="1"/>
        <v>-2.8305114331981299E-2</v>
      </c>
      <c r="F31">
        <v>0.24260000000000001</v>
      </c>
      <c r="G31">
        <f t="shared" si="2"/>
        <v>0.22520148762226727</v>
      </c>
    </row>
    <row r="32" spans="1:7" x14ac:dyDescent="0.25">
      <c r="A32">
        <v>-35</v>
      </c>
      <c r="B32">
        <v>0.13750000000000001</v>
      </c>
      <c r="C32">
        <f t="shared" si="0"/>
        <v>-0.14155300298478046</v>
      </c>
      <c r="D32">
        <v>-7.8700000000000006E-2</v>
      </c>
      <c r="E32">
        <f t="shared" si="1"/>
        <v>-2.8305114331981299E-2</v>
      </c>
      <c r="F32">
        <v>0.24260000000000001</v>
      </c>
      <c r="G32">
        <f t="shared" si="2"/>
        <v>0.17171829564164864</v>
      </c>
    </row>
    <row r="33" spans="1:7" x14ac:dyDescent="0.25">
      <c r="A33">
        <v>-30</v>
      </c>
      <c r="B33">
        <v>0.13750000000000001</v>
      </c>
      <c r="C33">
        <f t="shared" si="0"/>
        <v>-0.1611824131553091</v>
      </c>
      <c r="D33">
        <v>-7.8700000000000006E-2</v>
      </c>
      <c r="E33">
        <f t="shared" si="1"/>
        <v>-2.8305114331981299E-2</v>
      </c>
      <c r="F33">
        <v>0.24260000000000001</v>
      </c>
      <c r="G33">
        <f t="shared" si="2"/>
        <v>0.12153614702488232</v>
      </c>
    </row>
    <row r="34" spans="1:7" x14ac:dyDescent="0.25">
      <c r="A34">
        <v>-25</v>
      </c>
      <c r="B34">
        <v>0.13750000000000001</v>
      </c>
      <c r="C34">
        <f t="shared" si="0"/>
        <v>-0.17892414692320557</v>
      </c>
      <c r="D34">
        <v>-7.8700000000000006E-2</v>
      </c>
      <c r="E34">
        <f t="shared" si="1"/>
        <v>-2.8305114331981299E-2</v>
      </c>
      <c r="F34">
        <v>0.24260000000000001</v>
      </c>
      <c r="G34">
        <f t="shared" si="2"/>
        <v>7.6179800964296343E-2</v>
      </c>
    </row>
    <row r="35" spans="1:7" x14ac:dyDescent="0.25">
      <c r="A35">
        <v>-20</v>
      </c>
      <c r="B35">
        <v>0.13750000000000001</v>
      </c>
      <c r="C35">
        <f t="shared" si="0"/>
        <v>-0.19423913068568288</v>
      </c>
      <c r="D35">
        <v>-7.8700000000000006E-2</v>
      </c>
      <c r="E35">
        <f t="shared" si="1"/>
        <v>-2.8305114331981299E-2</v>
      </c>
      <c r="F35">
        <v>0.24260000000000001</v>
      </c>
      <c r="G35">
        <f t="shared" si="2"/>
        <v>3.7027387083522947E-2</v>
      </c>
    </row>
    <row r="36" spans="1:7" x14ac:dyDescent="0.25">
      <c r="A36">
        <v>-15</v>
      </c>
      <c r="B36">
        <v>0.13750000000000001</v>
      </c>
      <c r="C36">
        <f t="shared" si="0"/>
        <v>-0.20666202641087383</v>
      </c>
      <c r="D36">
        <v>-7.8700000000000006E-2</v>
      </c>
      <c r="E36">
        <f t="shared" si="1"/>
        <v>-2.8305114331981299E-2</v>
      </c>
      <c r="F36">
        <v>0.24260000000000001</v>
      </c>
      <c r="G36">
        <f t="shared" si="2"/>
        <v>5.2685316662521992E-3</v>
      </c>
    </row>
    <row r="37" spans="1:7" x14ac:dyDescent="0.25">
      <c r="A37">
        <v>-10</v>
      </c>
      <c r="B37">
        <v>0.13750000000000001</v>
      </c>
      <c r="C37">
        <f t="shared" si="0"/>
        <v>-0.21581537069845702</v>
      </c>
      <c r="D37">
        <v>-7.8700000000000006E-2</v>
      </c>
      <c r="E37">
        <f t="shared" si="1"/>
        <v>-2.8305114331981299E-2</v>
      </c>
      <c r="F37">
        <v>0.24260000000000001</v>
      </c>
      <c r="G37">
        <f t="shared" si="2"/>
        <v>-1.8131788536418489E-2</v>
      </c>
    </row>
    <row r="38" spans="1:7" x14ac:dyDescent="0.25">
      <c r="A38">
        <v>-5</v>
      </c>
      <c r="B38">
        <v>0.13750000000000001</v>
      </c>
      <c r="C38">
        <f t="shared" si="0"/>
        <v>-0.22142104381407002</v>
      </c>
      <c r="D38">
        <v>-7.8700000000000006E-2</v>
      </c>
      <c r="E38">
        <f t="shared" si="1"/>
        <v>-2.8305114331981299E-2</v>
      </c>
      <c r="F38">
        <v>0.24260000000000001</v>
      </c>
      <c r="G38">
        <f t="shared" si="2"/>
        <v>-3.2462566636264276E-2</v>
      </c>
    </row>
    <row r="39" spans="1:7" x14ac:dyDescent="0.25">
      <c r="A39">
        <v>0</v>
      </c>
      <c r="B39">
        <v>0.13750000000000001</v>
      </c>
      <c r="C39">
        <f t="shared" si="0"/>
        <v>-0.22330872021670231</v>
      </c>
      <c r="D39">
        <v>-7.8700000000000006E-2</v>
      </c>
      <c r="E39">
        <f t="shared" si="1"/>
        <v>-2.8305114331981299E-2</v>
      </c>
      <c r="F39">
        <v>0.24260000000000001</v>
      </c>
      <c r="G39">
        <f t="shared" si="2"/>
        <v>-3.7288369192444978E-2</v>
      </c>
    </row>
    <row r="40" spans="1:7" x14ac:dyDescent="0.25">
      <c r="A40">
        <v>5</v>
      </c>
      <c r="B40">
        <v>0.13750000000000001</v>
      </c>
      <c r="C40">
        <f t="shared" si="0"/>
        <v>-0.2214210438140703</v>
      </c>
      <c r="D40">
        <v>-7.8700000000000006E-2</v>
      </c>
      <c r="E40">
        <f t="shared" si="1"/>
        <v>-2.8305114331981299E-2</v>
      </c>
      <c r="F40">
        <v>0.24260000000000001</v>
      </c>
      <c r="G40">
        <f t="shared" si="2"/>
        <v>-3.2462566636264997E-2</v>
      </c>
    </row>
    <row r="41" spans="1:7" x14ac:dyDescent="0.25">
      <c r="A41">
        <v>10</v>
      </c>
      <c r="B41">
        <v>0.13750000000000001</v>
      </c>
      <c r="C41">
        <f t="shared" si="0"/>
        <v>-0.2158153706984576</v>
      </c>
      <c r="D41">
        <v>-7.8700000000000006E-2</v>
      </c>
      <c r="E41">
        <f t="shared" si="1"/>
        <v>-2.8305114331981299E-2</v>
      </c>
      <c r="F41">
        <v>0.24260000000000001</v>
      </c>
      <c r="G41">
        <f t="shared" si="2"/>
        <v>-1.8131788536419932E-2</v>
      </c>
    </row>
    <row r="42" spans="1:7" x14ac:dyDescent="0.25">
      <c r="A42">
        <v>15</v>
      </c>
      <c r="B42">
        <v>0.13750000000000001</v>
      </c>
      <c r="C42">
        <f t="shared" si="0"/>
        <v>-0.20666202641087467</v>
      </c>
      <c r="D42">
        <v>-7.8700000000000006E-2</v>
      </c>
      <c r="E42">
        <f t="shared" si="1"/>
        <v>-2.8305114331981299E-2</v>
      </c>
      <c r="F42">
        <v>0.24260000000000001</v>
      </c>
      <c r="G42">
        <f t="shared" si="2"/>
        <v>5.2685316662500342E-3</v>
      </c>
    </row>
    <row r="43" spans="1:7" x14ac:dyDescent="0.25">
      <c r="A43">
        <v>20</v>
      </c>
      <c r="B43">
        <v>0.13750000000000001</v>
      </c>
      <c r="C43">
        <f t="shared" si="0"/>
        <v>-0.19423913068568394</v>
      </c>
      <c r="D43">
        <v>-7.8700000000000006E-2</v>
      </c>
      <c r="E43">
        <f t="shared" si="1"/>
        <v>-2.8305114331981299E-2</v>
      </c>
      <c r="F43">
        <v>0.24260000000000001</v>
      </c>
      <c r="G43">
        <f t="shared" si="2"/>
        <v>3.7027387083520227E-2</v>
      </c>
    </row>
    <row r="44" spans="1:7" x14ac:dyDescent="0.25">
      <c r="A44">
        <v>25</v>
      </c>
      <c r="B44">
        <v>0.13750000000000001</v>
      </c>
      <c r="C44">
        <f t="shared" si="0"/>
        <v>-0.17892414692320688</v>
      </c>
      <c r="D44">
        <v>-7.8700000000000006E-2</v>
      </c>
      <c r="E44">
        <f t="shared" si="1"/>
        <v>-2.8305114331981299E-2</v>
      </c>
      <c r="F44">
        <v>0.24260000000000001</v>
      </c>
      <c r="G44">
        <f t="shared" si="2"/>
        <v>7.617980096429304E-2</v>
      </c>
    </row>
    <row r="45" spans="1:7" x14ac:dyDescent="0.25">
      <c r="A45">
        <v>30</v>
      </c>
      <c r="B45">
        <v>0.13750000000000001</v>
      </c>
      <c r="C45">
        <f t="shared" si="0"/>
        <v>-0.16118241315531051</v>
      </c>
      <c r="D45">
        <v>-7.8700000000000006E-2</v>
      </c>
      <c r="E45">
        <f t="shared" si="1"/>
        <v>-2.8305114331981299E-2</v>
      </c>
      <c r="F45">
        <v>0.24260000000000001</v>
      </c>
      <c r="G45">
        <f t="shared" si="2"/>
        <v>0.12153614702487868</v>
      </c>
    </row>
    <row r="46" spans="1:7" x14ac:dyDescent="0.25">
      <c r="A46">
        <v>35</v>
      </c>
      <c r="B46">
        <v>0.13750000000000001</v>
      </c>
      <c r="C46">
        <f t="shared" si="0"/>
        <v>-0.14155300298478204</v>
      </c>
      <c r="D46">
        <v>-7.8700000000000006E-2</v>
      </c>
      <c r="E46">
        <f t="shared" si="1"/>
        <v>-2.8305114331981299E-2</v>
      </c>
      <c r="F46">
        <v>0.24260000000000001</v>
      </c>
      <c r="G46">
        <f t="shared" si="2"/>
        <v>0.17171829564164465</v>
      </c>
    </row>
    <row r="47" spans="1:7" x14ac:dyDescent="0.25">
      <c r="A47">
        <v>40</v>
      </c>
      <c r="B47">
        <v>0.13750000000000001</v>
      </c>
      <c r="C47">
        <f t="shared" si="0"/>
        <v>-0.12063234610669207</v>
      </c>
      <c r="D47">
        <v>-7.8700000000000006E-2</v>
      </c>
      <c r="E47">
        <f t="shared" si="1"/>
        <v>-2.8305114331981299E-2</v>
      </c>
      <c r="F47">
        <v>0.24260000000000001</v>
      </c>
      <c r="G47">
        <f t="shared" si="2"/>
        <v>0.225201487622263</v>
      </c>
    </row>
    <row r="48" spans="1:7" x14ac:dyDescent="0.25">
      <c r="A48">
        <v>45</v>
      </c>
      <c r="B48">
        <v>0.13750000000000001</v>
      </c>
      <c r="C48">
        <f t="shared" si="0"/>
        <v>-9.9056106093918156E-2</v>
      </c>
      <c r="D48">
        <v>-7.8700000000000006E-2</v>
      </c>
      <c r="E48">
        <f t="shared" si="1"/>
        <v>-2.8305114331981299E-2</v>
      </c>
      <c r="F48">
        <v>0.24260000000000001</v>
      </c>
      <c r="G48">
        <f t="shared" si="2"/>
        <v>0.28036066324220382</v>
      </c>
    </row>
    <row r="49" spans="1:7" x14ac:dyDescent="0.25">
      <c r="A49">
        <v>50</v>
      </c>
      <c r="B49">
        <v>0.13750000000000001</v>
      </c>
      <c r="C49">
        <f t="shared" si="0"/>
        <v>-7.7479866081144211E-2</v>
      </c>
      <c r="D49">
        <v>-7.8700000000000006E-2</v>
      </c>
      <c r="E49">
        <f t="shared" si="1"/>
        <v>-2.8305114331981299E-2</v>
      </c>
      <c r="F49">
        <v>0.24260000000000001</v>
      </c>
      <c r="G49">
        <f t="shared" si="2"/>
        <v>0.3355198388621447</v>
      </c>
    </row>
    <row r="50" spans="1:7" x14ac:dyDescent="0.25">
      <c r="A50">
        <v>55</v>
      </c>
      <c r="B50">
        <v>0.13750000000000001</v>
      </c>
      <c r="C50">
        <f t="shared" si="0"/>
        <v>-5.6559209203054156E-2</v>
      </c>
      <c r="D50">
        <v>-7.8700000000000006E-2</v>
      </c>
      <c r="E50">
        <f t="shared" si="1"/>
        <v>-2.8305114331981299E-2</v>
      </c>
      <c r="F50">
        <v>0.24260000000000001</v>
      </c>
      <c r="G50">
        <f t="shared" si="2"/>
        <v>0.38900303084276328</v>
      </c>
    </row>
    <row r="51" spans="1:7" x14ac:dyDescent="0.25">
      <c r="A51">
        <v>60</v>
      </c>
      <c r="B51">
        <v>0.13750000000000001</v>
      </c>
      <c r="C51">
        <f t="shared" si="0"/>
        <v>-3.6929799032525551E-2</v>
      </c>
      <c r="D51">
        <v>-7.8700000000000006E-2</v>
      </c>
      <c r="E51">
        <f t="shared" si="1"/>
        <v>-2.8305114331981299E-2</v>
      </c>
      <c r="F51">
        <v>0.24260000000000001</v>
      </c>
      <c r="G51">
        <f t="shared" si="2"/>
        <v>0.43918517945952956</v>
      </c>
    </row>
    <row r="52" spans="1:7" x14ac:dyDescent="0.25">
      <c r="A52">
        <v>65</v>
      </c>
      <c r="B52">
        <v>0.13750000000000001</v>
      </c>
      <c r="C52">
        <f t="shared" si="0"/>
        <v>-1.9188065264629045E-2</v>
      </c>
      <c r="D52">
        <v>-7.8700000000000006E-2</v>
      </c>
      <c r="E52">
        <f t="shared" si="1"/>
        <v>-2.8305114331981299E-2</v>
      </c>
      <c r="F52">
        <v>0.24260000000000001</v>
      </c>
      <c r="G52">
        <f t="shared" si="2"/>
        <v>0.48454152552011559</v>
      </c>
    </row>
    <row r="53" spans="1:7" x14ac:dyDescent="0.25">
      <c r="A53">
        <v>70</v>
      </c>
      <c r="B53">
        <v>0.13750000000000001</v>
      </c>
      <c r="C53">
        <f t="shared" si="0"/>
        <v>-3.8730815021517373E-3</v>
      </c>
      <c r="D53">
        <v>-7.8700000000000006E-2</v>
      </c>
      <c r="E53">
        <f t="shared" si="1"/>
        <v>-2.8305114331981299E-2</v>
      </c>
      <c r="F53">
        <v>0.24260000000000001</v>
      </c>
      <c r="G53">
        <f t="shared" si="2"/>
        <v>0.52369393940088915</v>
      </c>
    </row>
    <row r="54" spans="1:7" x14ac:dyDescent="0.25">
      <c r="A54">
        <v>75</v>
      </c>
      <c r="B54">
        <v>0.13750000000000001</v>
      </c>
      <c r="C54">
        <f t="shared" si="0"/>
        <v>8.5498142230392149E-3</v>
      </c>
      <c r="D54">
        <v>-7.8700000000000006E-2</v>
      </c>
      <c r="E54">
        <f t="shared" si="1"/>
        <v>-2.8305114331981299E-2</v>
      </c>
      <c r="F54">
        <v>0.24260000000000001</v>
      </c>
      <c r="G54">
        <f t="shared" si="2"/>
        <v>0.5554527948181599</v>
      </c>
    </row>
    <row r="55" spans="1:7" x14ac:dyDescent="0.25">
      <c r="A55">
        <v>80</v>
      </c>
      <c r="B55">
        <v>0.13750000000000001</v>
      </c>
      <c r="C55">
        <f t="shared" si="0"/>
        <v>1.7703158510622402E-2</v>
      </c>
      <c r="D55">
        <v>-7.8700000000000006E-2</v>
      </c>
      <c r="E55">
        <f t="shared" si="1"/>
        <v>-2.8305114331981299E-2</v>
      </c>
      <c r="F55">
        <v>0.24260000000000001</v>
      </c>
      <c r="G55">
        <f t="shared" si="2"/>
        <v>0.57885311502083048</v>
      </c>
    </row>
    <row r="56" spans="1:7" x14ac:dyDescent="0.25">
      <c r="A56">
        <v>85</v>
      </c>
      <c r="B56">
        <v>0.13750000000000001</v>
      </c>
      <c r="C56">
        <f t="shared" si="0"/>
        <v>2.3308831626235399E-2</v>
      </c>
      <c r="D56">
        <v>-7.8700000000000006E-2</v>
      </c>
      <c r="E56">
        <f t="shared" si="1"/>
        <v>-2.8305114331981299E-2</v>
      </c>
      <c r="F56">
        <v>0.24260000000000001</v>
      </c>
      <c r="G56">
        <f t="shared" si="2"/>
        <v>0.59318389312067621</v>
      </c>
    </row>
    <row r="57" spans="1:7" x14ac:dyDescent="0.25">
      <c r="A57">
        <v>90</v>
      </c>
      <c r="B57">
        <v>0.13750000000000001</v>
      </c>
      <c r="C57">
        <f t="shared" si="0"/>
        <v>2.5196508028867692E-2</v>
      </c>
      <c r="D57">
        <v>-7.8700000000000006E-2</v>
      </c>
      <c r="E57">
        <f t="shared" si="1"/>
        <v>-2.8305114331981299E-2</v>
      </c>
      <c r="F57">
        <v>0.24260000000000001</v>
      </c>
      <c r="G57">
        <f t="shared" si="2"/>
        <v>0.59800969567685702</v>
      </c>
    </row>
    <row r="58" spans="1:7" x14ac:dyDescent="0.25">
      <c r="A58">
        <v>95</v>
      </c>
      <c r="B58">
        <v>0.13750000000000001</v>
      </c>
      <c r="C58">
        <f t="shared" si="0"/>
        <v>2.3308831626235677E-2</v>
      </c>
      <c r="D58">
        <v>-7.8700000000000006E-2</v>
      </c>
      <c r="E58">
        <f t="shared" si="1"/>
        <v>-2.8305114331981299E-2</v>
      </c>
      <c r="F58">
        <v>0.24260000000000001</v>
      </c>
      <c r="G58">
        <f t="shared" si="2"/>
        <v>0.5931838931206771</v>
      </c>
    </row>
    <row r="59" spans="1:7" x14ac:dyDescent="0.25">
      <c r="A59">
        <v>100</v>
      </c>
      <c r="B59">
        <v>0.13750000000000001</v>
      </c>
      <c r="C59">
        <f t="shared" si="0"/>
        <v>1.7703158510623013E-2</v>
      </c>
      <c r="D59">
        <v>-7.8700000000000006E-2</v>
      </c>
      <c r="E59">
        <f t="shared" si="1"/>
        <v>-2.8305114331981299E-2</v>
      </c>
      <c r="F59">
        <v>0.24260000000000001</v>
      </c>
      <c r="G59">
        <f t="shared" si="2"/>
        <v>0.57885311502083192</v>
      </c>
    </row>
    <row r="60" spans="1:7" x14ac:dyDescent="0.25">
      <c r="A60">
        <v>105</v>
      </c>
      <c r="B60">
        <v>0.13750000000000001</v>
      </c>
      <c r="C60">
        <f t="shared" si="0"/>
        <v>8.5498142230399921E-3</v>
      </c>
      <c r="D60">
        <v>-7.8700000000000006E-2</v>
      </c>
      <c r="E60">
        <f t="shared" si="1"/>
        <v>-2.8305114331981299E-2</v>
      </c>
      <c r="F60">
        <v>0.24260000000000001</v>
      </c>
      <c r="G60">
        <f t="shared" si="2"/>
        <v>0.5554527948181619</v>
      </c>
    </row>
    <row r="61" spans="1:7" x14ac:dyDescent="0.25">
      <c r="A61">
        <v>110</v>
      </c>
      <c r="B61">
        <v>0.13750000000000001</v>
      </c>
      <c r="C61">
        <f t="shared" si="0"/>
        <v>-3.8730815021506826E-3</v>
      </c>
      <c r="D61">
        <v>-7.8700000000000006E-2</v>
      </c>
      <c r="E61">
        <f t="shared" si="1"/>
        <v>-2.8305114331981299E-2</v>
      </c>
      <c r="F61">
        <v>0.24260000000000001</v>
      </c>
      <c r="G61">
        <f t="shared" si="2"/>
        <v>0.52369393940089171</v>
      </c>
    </row>
    <row r="62" spans="1:7" x14ac:dyDescent="0.25">
      <c r="A62">
        <v>115</v>
      </c>
      <c r="B62">
        <v>0.13750000000000001</v>
      </c>
      <c r="C62">
        <f t="shared" si="0"/>
        <v>-1.9188065264627768E-2</v>
      </c>
      <c r="D62">
        <v>-7.8700000000000006E-2</v>
      </c>
      <c r="E62">
        <f t="shared" si="1"/>
        <v>-2.8305114331981299E-2</v>
      </c>
      <c r="F62">
        <v>0.24260000000000001</v>
      </c>
      <c r="G62">
        <f t="shared" si="2"/>
        <v>0.48454152552011892</v>
      </c>
    </row>
    <row r="63" spans="1:7" x14ac:dyDescent="0.25">
      <c r="A63">
        <v>120</v>
      </c>
      <c r="B63">
        <v>0.13750000000000001</v>
      </c>
      <c r="C63">
        <f t="shared" si="0"/>
        <v>-3.692979903252408E-2</v>
      </c>
      <c r="D63">
        <v>-7.8700000000000006E-2</v>
      </c>
      <c r="E63">
        <f t="shared" si="1"/>
        <v>-2.8305114331981299E-2</v>
      </c>
      <c r="F63">
        <v>0.24260000000000001</v>
      </c>
      <c r="G63">
        <f t="shared" si="2"/>
        <v>0.43918517945953334</v>
      </c>
    </row>
    <row r="64" spans="1:7" x14ac:dyDescent="0.25">
      <c r="A64">
        <v>125</v>
      </c>
      <c r="B64">
        <v>0.13750000000000001</v>
      </c>
      <c r="C64">
        <f t="shared" si="0"/>
        <v>-5.655920920305256E-2</v>
      </c>
      <c r="D64">
        <v>-7.8700000000000006E-2</v>
      </c>
      <c r="E64">
        <f t="shared" si="1"/>
        <v>-2.8305114331981299E-2</v>
      </c>
      <c r="F64">
        <v>0.24260000000000001</v>
      </c>
      <c r="G64">
        <f t="shared" si="2"/>
        <v>0.38900303084276738</v>
      </c>
    </row>
    <row r="65" spans="1:7" x14ac:dyDescent="0.25">
      <c r="A65">
        <v>130</v>
      </c>
      <c r="B65">
        <v>0.13750000000000001</v>
      </c>
      <c r="C65">
        <f t="shared" si="0"/>
        <v>-7.7479866081142532E-2</v>
      </c>
      <c r="D65">
        <v>-7.8700000000000006E-2</v>
      </c>
      <c r="E65">
        <f t="shared" si="1"/>
        <v>-2.8305114331981299E-2</v>
      </c>
      <c r="F65">
        <v>0.24260000000000001</v>
      </c>
      <c r="G65">
        <f t="shared" si="2"/>
        <v>0.33551983886214903</v>
      </c>
    </row>
    <row r="66" spans="1:7" x14ac:dyDescent="0.25">
      <c r="A66">
        <v>135</v>
      </c>
      <c r="B66">
        <v>0.13750000000000001</v>
      </c>
      <c r="C66">
        <f t="shared" si="0"/>
        <v>-9.9056106093916393E-2</v>
      </c>
      <c r="D66">
        <v>-7.8700000000000006E-2</v>
      </c>
      <c r="E66">
        <f t="shared" si="1"/>
        <v>-2.8305114331981299E-2</v>
      </c>
      <c r="F66">
        <v>0.24260000000000001</v>
      </c>
      <c r="G66">
        <f t="shared" si="2"/>
        <v>0.28036066324220832</v>
      </c>
    </row>
    <row r="67" spans="1:7" x14ac:dyDescent="0.25">
      <c r="A67">
        <v>140</v>
      </c>
      <c r="B67">
        <v>0.13750000000000001</v>
      </c>
      <c r="C67">
        <f t="shared" si="0"/>
        <v>-0.1206323461066903</v>
      </c>
      <c r="D67">
        <v>-7.8700000000000006E-2</v>
      </c>
      <c r="E67">
        <f t="shared" si="1"/>
        <v>-2.8305114331981299E-2</v>
      </c>
      <c r="F67">
        <v>0.24260000000000001</v>
      </c>
      <c r="G67">
        <f t="shared" si="2"/>
        <v>0.22520148762226755</v>
      </c>
    </row>
    <row r="68" spans="1:7" x14ac:dyDescent="0.25">
      <c r="A68">
        <v>145</v>
      </c>
      <c r="B68">
        <v>0.13750000000000001</v>
      </c>
      <c r="C68">
        <f t="shared" ref="C68:C75" si="3">-0.124252614122785*SIN(2*RADIANS(A68) + 1.57079632679489) + 0.0306438939060827 -0.1297</f>
        <v>-0.14155300298478055</v>
      </c>
      <c r="D68">
        <v>-7.8700000000000006E-2</v>
      </c>
      <c r="E68">
        <f t="shared" ref="E68:E75" si="4">-0.0181551143319813-0.01015</f>
        <v>-2.8305114331981299E-2</v>
      </c>
      <c r="F68">
        <v>0.24260000000000001</v>
      </c>
      <c r="G68">
        <f t="shared" ref="G68:G75" si="5">-0.317649032434651*SIN(2*RADIANS(A68) + 1.57079632679489) + 0.313010663242206-0.03265</f>
        <v>0.17171829564164848</v>
      </c>
    </row>
    <row r="69" spans="1:7" x14ac:dyDescent="0.25">
      <c r="A69">
        <v>150</v>
      </c>
      <c r="B69">
        <v>0.13750000000000001</v>
      </c>
      <c r="C69">
        <f t="shared" si="3"/>
        <v>-0.16118241315530915</v>
      </c>
      <c r="D69">
        <v>-7.8700000000000006E-2</v>
      </c>
      <c r="E69">
        <f t="shared" si="4"/>
        <v>-2.8305114331981299E-2</v>
      </c>
      <c r="F69">
        <v>0.24260000000000001</v>
      </c>
      <c r="G69">
        <f t="shared" si="5"/>
        <v>0.12153614702488223</v>
      </c>
    </row>
    <row r="70" spans="1:7" x14ac:dyDescent="0.25">
      <c r="A70">
        <v>155</v>
      </c>
      <c r="B70">
        <v>0.13750000000000001</v>
      </c>
      <c r="C70">
        <f t="shared" si="3"/>
        <v>-0.17892414692320563</v>
      </c>
      <c r="D70">
        <v>-7.8700000000000006E-2</v>
      </c>
      <c r="E70">
        <f t="shared" si="4"/>
        <v>-2.8305114331981299E-2</v>
      </c>
      <c r="F70">
        <v>0.24260000000000001</v>
      </c>
      <c r="G70">
        <f t="shared" si="5"/>
        <v>7.6179800964296232E-2</v>
      </c>
    </row>
    <row r="71" spans="1:7" x14ac:dyDescent="0.25">
      <c r="A71">
        <v>160</v>
      </c>
      <c r="B71">
        <v>0.13750000000000001</v>
      </c>
      <c r="C71">
        <f t="shared" si="3"/>
        <v>-0.19423913068568288</v>
      </c>
      <c r="D71">
        <v>-7.8700000000000006E-2</v>
      </c>
      <c r="E71">
        <f t="shared" si="4"/>
        <v>-2.8305114331981299E-2</v>
      </c>
      <c r="F71">
        <v>0.24260000000000001</v>
      </c>
      <c r="G71">
        <f t="shared" si="5"/>
        <v>3.7027387083522947E-2</v>
      </c>
    </row>
    <row r="72" spans="1:7" x14ac:dyDescent="0.25">
      <c r="A72">
        <v>165</v>
      </c>
      <c r="B72">
        <v>0.13750000000000001</v>
      </c>
      <c r="C72">
        <f t="shared" si="3"/>
        <v>-0.20666202641087383</v>
      </c>
      <c r="D72">
        <v>-7.8700000000000006E-2</v>
      </c>
      <c r="E72">
        <f t="shared" si="4"/>
        <v>-2.8305114331981299E-2</v>
      </c>
      <c r="F72">
        <v>0.24260000000000001</v>
      </c>
      <c r="G72">
        <f t="shared" si="5"/>
        <v>5.2685316662521992E-3</v>
      </c>
    </row>
    <row r="73" spans="1:7" x14ac:dyDescent="0.25">
      <c r="A73">
        <v>170</v>
      </c>
      <c r="B73">
        <v>0.13750000000000001</v>
      </c>
      <c r="C73">
        <f t="shared" si="3"/>
        <v>-0.21581537069845702</v>
      </c>
      <c r="D73">
        <v>-7.8700000000000006E-2</v>
      </c>
      <c r="E73">
        <f t="shared" si="4"/>
        <v>-2.8305114331981299E-2</v>
      </c>
      <c r="F73">
        <v>0.24260000000000001</v>
      </c>
      <c r="G73">
        <f t="shared" si="5"/>
        <v>-1.8131788536418433E-2</v>
      </c>
    </row>
    <row r="74" spans="1:7" x14ac:dyDescent="0.25">
      <c r="A74">
        <v>175</v>
      </c>
      <c r="B74">
        <v>0.13750000000000001</v>
      </c>
      <c r="C74">
        <f t="shared" si="3"/>
        <v>-0.22142104381407002</v>
      </c>
      <c r="D74">
        <v>-7.8700000000000006E-2</v>
      </c>
      <c r="E74">
        <f t="shared" si="4"/>
        <v>-2.8305114331981299E-2</v>
      </c>
      <c r="F74">
        <v>0.24260000000000001</v>
      </c>
      <c r="G74">
        <f t="shared" si="5"/>
        <v>-3.246256663626422E-2</v>
      </c>
    </row>
    <row r="75" spans="1:7" x14ac:dyDescent="0.25">
      <c r="A75">
        <v>180</v>
      </c>
      <c r="B75">
        <v>0.13750000000000001</v>
      </c>
      <c r="C75">
        <f t="shared" si="3"/>
        <v>-0.22330872021670231</v>
      </c>
      <c r="D75">
        <v>-7.8700000000000006E-2</v>
      </c>
      <c r="E75">
        <f t="shared" si="4"/>
        <v>-2.8305114331981299E-2</v>
      </c>
      <c r="F75">
        <v>0.24260000000000001</v>
      </c>
      <c r="G75">
        <f t="shared" si="5"/>
        <v>-3.7288369192444978E-2</v>
      </c>
    </row>
  </sheetData>
  <mergeCells count="3">
    <mergeCell ref="B1:C1"/>
    <mergeCell ref="D1:E1"/>
    <mergeCell ref="F1:G1"/>
  </mergeCells>
  <pageMargins left="0.7" right="0.7" top="0.75" bottom="0.75" header="0.3" footer="0.3"/>
  <pageSetup orientation="portrait" horizontalDpi="200" verticalDpi="20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F7DC-BEF4-4C19-9E66-AAD73ADA42C4}">
  <dimension ref="A1:I33"/>
  <sheetViews>
    <sheetView topLeftCell="D1" zoomScale="115" zoomScaleNormal="115" workbookViewId="0">
      <selection activeCell="X15" sqref="X15"/>
    </sheetView>
  </sheetViews>
  <sheetFormatPr defaultRowHeight="15" x14ac:dyDescent="0.25"/>
  <cols>
    <col min="1" max="1" width="12" bestFit="1" customWidth="1"/>
  </cols>
  <sheetData>
    <row r="1" spans="1:9" x14ac:dyDescent="0.25">
      <c r="A1" t="s">
        <v>1785</v>
      </c>
      <c r="B1" t="s">
        <v>1786</v>
      </c>
      <c r="C1" t="s">
        <v>1775</v>
      </c>
      <c r="D1" t="s">
        <v>1776</v>
      </c>
      <c r="E1" t="s">
        <v>1777</v>
      </c>
    </row>
    <row r="2" spans="1:9" x14ac:dyDescent="0.25">
      <c r="A2" t="s">
        <v>1783</v>
      </c>
      <c r="B2">
        <v>2</v>
      </c>
      <c r="C2">
        <v>2</v>
      </c>
      <c r="D2">
        <v>3</v>
      </c>
      <c r="E2">
        <v>3</v>
      </c>
      <c r="F2">
        <f>5-B2</f>
        <v>3</v>
      </c>
      <c r="G2">
        <f t="shared" ref="G2:I6" si="0">5-C2</f>
        <v>3</v>
      </c>
      <c r="H2">
        <f t="shared" si="0"/>
        <v>2</v>
      </c>
      <c r="I2">
        <f t="shared" si="0"/>
        <v>2</v>
      </c>
    </row>
    <row r="3" spans="1:9" x14ac:dyDescent="0.25">
      <c r="A3" t="s">
        <v>1697</v>
      </c>
      <c r="B3">
        <v>2</v>
      </c>
      <c r="C3">
        <v>3</v>
      </c>
      <c r="D3">
        <v>2</v>
      </c>
      <c r="E3">
        <v>3</v>
      </c>
      <c r="F3">
        <f t="shared" ref="F3:F6" si="1">5-B3</f>
        <v>3</v>
      </c>
      <c r="G3">
        <f t="shared" si="0"/>
        <v>2</v>
      </c>
      <c r="H3">
        <f t="shared" si="0"/>
        <v>3</v>
      </c>
      <c r="I3">
        <f t="shared" si="0"/>
        <v>2</v>
      </c>
    </row>
    <row r="4" spans="1:9" x14ac:dyDescent="0.25">
      <c r="A4" t="s">
        <v>1698</v>
      </c>
      <c r="B4">
        <v>1</v>
      </c>
      <c r="C4">
        <v>1</v>
      </c>
      <c r="D4">
        <v>1</v>
      </c>
      <c r="E4">
        <v>1</v>
      </c>
      <c r="F4">
        <f t="shared" si="1"/>
        <v>4</v>
      </c>
      <c r="G4">
        <f t="shared" si="0"/>
        <v>4</v>
      </c>
      <c r="H4">
        <f t="shared" si="0"/>
        <v>4</v>
      </c>
      <c r="I4">
        <f t="shared" si="0"/>
        <v>4</v>
      </c>
    </row>
    <row r="5" spans="1:9" x14ac:dyDescent="0.25">
      <c r="A5" t="s">
        <v>1699</v>
      </c>
      <c r="B5">
        <v>1</v>
      </c>
      <c r="C5">
        <v>1</v>
      </c>
      <c r="D5">
        <v>1</v>
      </c>
      <c r="E5">
        <v>1</v>
      </c>
      <c r="F5">
        <f t="shared" si="1"/>
        <v>4</v>
      </c>
      <c r="G5">
        <f t="shared" si="0"/>
        <v>4</v>
      </c>
      <c r="H5">
        <f t="shared" si="0"/>
        <v>4</v>
      </c>
      <c r="I5">
        <f t="shared" si="0"/>
        <v>4</v>
      </c>
    </row>
    <row r="6" spans="1:9" x14ac:dyDescent="0.25">
      <c r="A6" t="s">
        <v>1784</v>
      </c>
      <c r="B6">
        <v>2</v>
      </c>
      <c r="C6">
        <v>2</v>
      </c>
      <c r="D6">
        <v>4</v>
      </c>
      <c r="E6">
        <v>4</v>
      </c>
      <c r="F6">
        <f t="shared" si="1"/>
        <v>3</v>
      </c>
      <c r="G6">
        <f t="shared" si="0"/>
        <v>3</v>
      </c>
      <c r="H6">
        <f t="shared" si="0"/>
        <v>1</v>
      </c>
      <c r="I6">
        <f t="shared" si="0"/>
        <v>1</v>
      </c>
    </row>
    <row r="8" spans="1:9" x14ac:dyDescent="0.25">
      <c r="A8" t="s">
        <v>1803</v>
      </c>
    </row>
    <row r="9" spans="1:9" x14ac:dyDescent="0.25">
      <c r="A9" t="s">
        <v>1788</v>
      </c>
      <c r="B9">
        <v>2.06664</v>
      </c>
      <c r="C9">
        <v>1.99305</v>
      </c>
      <c r="D9">
        <v>3.21462</v>
      </c>
      <c r="E9">
        <v>3.1648000000000001</v>
      </c>
    </row>
    <row r="10" spans="1:9" x14ac:dyDescent="0.25">
      <c r="A10" t="s">
        <v>1778</v>
      </c>
      <c r="D10">
        <v>0</v>
      </c>
      <c r="E10">
        <v>0</v>
      </c>
    </row>
    <row r="11" spans="1:9" x14ac:dyDescent="0.25">
      <c r="A11" t="s">
        <v>1789</v>
      </c>
      <c r="B11">
        <v>3.5790999999999999</v>
      </c>
      <c r="C11">
        <v>3.5790999999999999</v>
      </c>
      <c r="D11">
        <f>0.109103860331273*SIN(2*RADIANS(D10) + 1.57079632679489) + 3.54694564679198</f>
        <v>3.6560495071232531</v>
      </c>
      <c r="E11">
        <f>0.109103860331273*SIN(2*RADIANS(E10) + 1.57079632679489) + 3.54694564679198</f>
        <v>3.6560495071232531</v>
      </c>
    </row>
    <row r="12" spans="1:9" x14ac:dyDescent="0.25">
      <c r="A12" t="s">
        <v>1790</v>
      </c>
      <c r="B12">
        <v>20500</v>
      </c>
      <c r="C12">
        <v>20500</v>
      </c>
      <c r="D12">
        <v>21000</v>
      </c>
      <c r="E12">
        <v>21000</v>
      </c>
    </row>
    <row r="13" spans="1:9" x14ac:dyDescent="0.25">
      <c r="A13" t="s">
        <v>1791</v>
      </c>
      <c r="B13">
        <v>1.4963000000000001E-3</v>
      </c>
      <c r="C13">
        <v>1.4963000000000001E-3</v>
      </c>
      <c r="D13">
        <v>1.4963000000000001E-3</v>
      </c>
      <c r="E13">
        <v>1.4963000000000001E-3</v>
      </c>
    </row>
    <row r="14" spans="1:9" x14ac:dyDescent="0.25">
      <c r="A14" t="s">
        <v>1792</v>
      </c>
      <c r="B14">
        <v>634</v>
      </c>
      <c r="C14">
        <v>634</v>
      </c>
      <c r="D14">
        <v>634</v>
      </c>
      <c r="E14">
        <v>634</v>
      </c>
    </row>
    <row r="15" spans="1:9" x14ac:dyDescent="0.25">
      <c r="A15" t="s">
        <v>1793</v>
      </c>
      <c r="B15">
        <v>300</v>
      </c>
      <c r="C15">
        <v>300</v>
      </c>
      <c r="D15">
        <v>300</v>
      </c>
      <c r="E15">
        <v>300</v>
      </c>
    </row>
    <row r="16" spans="1:9" x14ac:dyDescent="0.25">
      <c r="A16" s="16" t="s">
        <v>1787</v>
      </c>
      <c r="B16" s="16">
        <f>2*B12*B9^2/(B13*B14^2*B15*B11)</f>
        <v>0.27115726166082854</v>
      </c>
      <c r="C16" s="16">
        <f t="shared" ref="C16:E16" si="2">2*C12*C9^2/(C13*C14^2*C15*C11)</f>
        <v>0.25219006040611025</v>
      </c>
      <c r="D16" s="16">
        <f t="shared" si="2"/>
        <v>0.65792753241404023</v>
      </c>
      <c r="E16" s="16">
        <f t="shared" si="2"/>
        <v>0.6376925097647218</v>
      </c>
    </row>
    <row r="17" spans="1:5" x14ac:dyDescent="0.25">
      <c r="A17" s="16" t="s">
        <v>1794</v>
      </c>
      <c r="B17" s="16">
        <v>0.39100400000000002</v>
      </c>
      <c r="C17" s="16">
        <v>0.39435799999999999</v>
      </c>
      <c r="D17" s="16">
        <v>0.24760299999999999</v>
      </c>
      <c r="E17" s="16">
        <v>0.24462900000000001</v>
      </c>
    </row>
    <row r="19" spans="1:5" x14ac:dyDescent="0.25">
      <c r="A19" t="s">
        <v>1795</v>
      </c>
    </row>
    <row r="20" spans="1:5" x14ac:dyDescent="0.25">
      <c r="A20" s="16" t="s">
        <v>1794</v>
      </c>
      <c r="B20" s="16">
        <v>2.34948E-2</v>
      </c>
      <c r="C20" s="16">
        <v>-5.4244300000000002E-2</v>
      </c>
      <c r="D20" s="16">
        <v>1.9818499999999999E-2</v>
      </c>
      <c r="E20" s="16">
        <v>-8.9012599999999997E-2</v>
      </c>
    </row>
    <row r="21" spans="1:5" x14ac:dyDescent="0.25">
      <c r="A21" s="16" t="s">
        <v>1799</v>
      </c>
      <c r="B21" s="16"/>
      <c r="C21" s="16">
        <v>109.89</v>
      </c>
      <c r="D21" s="16"/>
      <c r="E21" s="16">
        <v>62.622199999999999</v>
      </c>
    </row>
    <row r="23" spans="1:5" x14ac:dyDescent="0.25">
      <c r="A23" t="s">
        <v>1796</v>
      </c>
    </row>
    <row r="24" spans="1:5" x14ac:dyDescent="0.25">
      <c r="A24" t="s">
        <v>1797</v>
      </c>
      <c r="B24">
        <v>2.40951</v>
      </c>
      <c r="C24">
        <v>2.4230800000000001</v>
      </c>
      <c r="D24">
        <v>2.4510999999999998</v>
      </c>
      <c r="E24">
        <v>2.4552700000000001</v>
      </c>
    </row>
    <row r="25" spans="1:5" x14ac:dyDescent="0.25">
      <c r="A25" s="16" t="s">
        <v>1804</v>
      </c>
      <c r="B25" s="16">
        <f>1/B24</f>
        <v>0.41502214143124533</v>
      </c>
      <c r="C25" s="16">
        <f t="shared" ref="C25:E25" si="3">1/C24</f>
        <v>0.41269788863760171</v>
      </c>
      <c r="D25" s="16">
        <f t="shared" si="3"/>
        <v>0.40798009057158013</v>
      </c>
      <c r="E25" s="16">
        <f t="shared" si="3"/>
        <v>0.40728718226508692</v>
      </c>
    </row>
    <row r="27" spans="1:5" x14ac:dyDescent="0.25">
      <c r="A27" t="s">
        <v>1798</v>
      </c>
    </row>
    <row r="28" spans="1:5" x14ac:dyDescent="0.25">
      <c r="A28" s="16" t="s">
        <v>1799</v>
      </c>
      <c r="B28" s="16">
        <v>93.611699999999999</v>
      </c>
      <c r="C28" s="16">
        <v>1130.03</v>
      </c>
      <c r="D28" s="16">
        <v>55.845999999999997</v>
      </c>
      <c r="E28" s="16">
        <v>2559.86</v>
      </c>
    </row>
    <row r="30" spans="1:5" x14ac:dyDescent="0.25">
      <c r="A30" t="s">
        <v>1800</v>
      </c>
    </row>
    <row r="31" spans="1:5" x14ac:dyDescent="0.25">
      <c r="A31" s="16" t="s">
        <v>1794</v>
      </c>
      <c r="B31" s="16">
        <v>4.0064500000000003E-2</v>
      </c>
      <c r="C31" s="16">
        <v>2.8611999999999999E-2</v>
      </c>
      <c r="D31" s="39" t="s">
        <v>1802</v>
      </c>
      <c r="E31" s="39" t="s">
        <v>1802</v>
      </c>
    </row>
    <row r="32" spans="1:5" x14ac:dyDescent="0.25">
      <c r="A32" s="16" t="s">
        <v>1788</v>
      </c>
      <c r="B32" s="16">
        <v>3.5375800000000002</v>
      </c>
      <c r="C32" s="16">
        <v>3.58</v>
      </c>
      <c r="D32" s="16"/>
      <c r="E32" s="16"/>
    </row>
    <row r="33" spans="1:5" x14ac:dyDescent="0.25">
      <c r="A33" s="16" t="s">
        <v>1801</v>
      </c>
      <c r="B33" s="16">
        <f>B31*B32</f>
        <v>0.14173137391000001</v>
      </c>
      <c r="C33" s="16">
        <f t="shared" ref="C33:E33" si="4">C31*C32</f>
        <v>0.10243096</v>
      </c>
      <c r="D33" s="16" t="e">
        <f t="shared" si="4"/>
        <v>#VALUE!</v>
      </c>
      <c r="E33" s="16" t="e">
        <f t="shared" si="4"/>
        <v>#VALUE!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PreliminaryResults</vt:lpstr>
      <vt:lpstr>CGShiftStudy</vt:lpstr>
      <vt:lpstr>CGShiftStudy 2</vt:lpstr>
      <vt:lpstr>CGShiftStudy CURRENT</vt:lpstr>
      <vt:lpstr>StaticStability</vt:lpstr>
      <vt:lpstr>HandlingQualities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SimMachine</dc:creator>
  <cp:lastModifiedBy>Troy Abraham</cp:lastModifiedBy>
  <cp:lastPrinted>2022-11-16T02:07:34Z</cp:lastPrinted>
  <dcterms:created xsi:type="dcterms:W3CDTF">2022-11-01T22:38:11Z</dcterms:created>
  <dcterms:modified xsi:type="dcterms:W3CDTF">2023-04-06T23:37:11Z</dcterms:modified>
</cp:coreProperties>
</file>